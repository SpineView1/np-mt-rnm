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book.xml" ContentType="application/vnd.openxmlformats-officedocument.spreadsheetml.sheet.main+xml"/>
  <Override PartName="/xl/tables/table1.xml" ContentType="application/vnd.openxmlformats-officedocument.spreadsheetml.tabl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hart1.xml" ContentType="application/vnd.openxmlformats-officedocument.drawingml.chart+xml"/>
  <Override PartName="/xl/charts/colors1.xml" ContentType="application/vnd.ms-office.chartcolorstyle+xml"/>
  <Override PartName="/xl/charts/style3.xml" ContentType="application/vnd.ms-office.chartstyle+xml"/>
  <Override PartName="/xl/charts/chart4.xml" ContentType="application/vnd.openxmlformats-officedocument.drawingml.chart+xml"/>
  <Override PartName="/xl/charts/chart3.xml" ContentType="application/vnd.openxmlformats-officedocument.drawingml.chart+xml"/>
  <Override PartName="/xl/charts/colors2.xml" ContentType="application/vnd.ms-office.chartcolorstyle+xml"/>
  <Override PartName="/xl/charts/style1.xml" ContentType="application/vnd.ms-office.chartstyle+xml"/>
  <Override PartName="/xl/charts/style4.xml" ContentType="application/vnd.ms-office.chartstyle+xml"/>
  <Override PartName="/xl/charts/colors3.xml" ContentType="application/vnd.ms-office.chartcolor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teractions" sheetId="2" state="visible" r:id="rId4"/>
    <sheet name="Summary statistics" sheetId="3" state="visible" r:id="rId5"/>
    <sheet name="Evidence review" sheetId="4" state="visible" r:id="rId6"/>
    <sheet name="Retraction screen" sheetId="5" state="visible" r:id="rId7"/>
  </sheets>
  <definedNames>
    <definedName function="false" hidden="false" localSheetId="3" name="_xlnm.Print_Titles" vbProcedure="false">'Evidence review'!$4:$4</definedName>
    <definedName function="false" hidden="true" localSheetId="3" name="_xlnm._FilterDatabase" vbProcedure="false">'Evidence review'!$A$4:$K$41</definedName>
    <definedName function="false" hidden="false" localSheetId="1" name="_xlnm.Print_Titles" vbProcedure="false">Interactions!$1:$1</definedName>
    <definedName function="false" hidden="false" localSheetId="4" name="_xlnm.Print_Titles" vbProcedure="false">'Retraction screen'!$4:$4</definedName>
    <definedName function="false" hidden="true" localSheetId="4" name="_xlnm._FilterDatabase" vbProcedure="false">'Retraction screen'!$A$4:$E$239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NP-MT-RNM</author>
  </authors>
  <commentList>
    <comment ref="E1" authorId="0">
      <text>
        <r>
          <rPr>
            <sz val="10"/>
            <rFont val="Arial"/>
            <family val="2"/>
          </rPr>
          <t xml:space="preserve">+1 = activation, −1 = inhibition. Derived from the Regulation column, which defines the model topology.</t>
        </r>
      </text>
    </comment>
    <comment ref="Q1" authorId="0">
      <text>
        <r>
          <rPr>
            <sz val="10"/>
            <rFont val="Arial"/>
            <family val="2"/>
          </rPr>
          <t xml:space="preserve">Present for the 37 interactions whose supporting evidence was reviewed or added during curation (see sheet 'Evidence review').</t>
        </r>
      </text>
    </comment>
  </commentList>
</comments>
</file>

<file path=xl/comments3.xml><?xml version="1.0" encoding="utf-8"?>
<comments xmlns="http://schemas.openxmlformats.org/spreadsheetml/2006/main" xmlns:xdr="http://schemas.openxmlformats.org/drawingml/2006/spreadsheetDrawing">
  <authors>
    <author>NP-MT-RNM</author>
  </authors>
  <commentList>
    <comment ref="B12" authorId="0">
      <text>
        <r>
          <rPr>
            <sz val="10"/>
            <rFont val="Arial"/>
            <family val="2"/>
          </rPr>
          <t xml:space="preserve">Counted in Python from the DOI(s) column (several DOIs can share a cell).</t>
        </r>
      </text>
    </comment>
  </commentList>
</comments>
</file>

<file path=xl/sharedStrings.xml><?xml version="1.0" encoding="utf-8"?>
<sst xmlns="http://schemas.openxmlformats.org/spreadsheetml/2006/main" count="7062" uniqueCount="1814">
  <si>
    <t xml:space="preserve">NP-MT-RNM interaction corpus</t>
  </si>
  <si>
    <t xml:space="preserve">Supplementary Data 1 to: Workineh Z.G., Chemorion F.K. &amp; Noailly J. A systems-level network model reveals mechanical regulation of nucleus pulposus cell states.</t>
  </si>
  <si>
    <t xml:space="preserve">What this file contains</t>
  </si>
  <si>
    <t xml:space="preserve">Content</t>
  </si>
  <si>
    <t xml:space="preserve">The literature-curated regulatory interactions of the nucleus pulposus (NP) mechanotransduction regulatory network model (RNM): one row per directed, signed interaction, with the supporting experimental context and references.</t>
  </si>
  <si>
    <t xml:space="preserve">Interactions</t>
  </si>
  <si>
    <t xml:space="preserve">Nodes with at least one interaction</t>
  </si>
  <si>
    <t xml:space="preserve">Model and code</t>
  </si>
  <si>
    <t xml:space="preserve">Model, simulation code and SBML: np-mt-rnm, https://doi.org/10.5281/zenodo.23195857. Interactive web application: np-mt-rnm-web, https://doi.org/10.5281/zenodo.23204747.</t>
  </si>
  <si>
    <t xml:space="preserve">Sheets</t>
  </si>
  <si>
    <t xml:space="preserve">One row per interaction (source → target), its regulation and sign, functional modules, experimental context as reported, references with DOI/PMID, evidence notes and retraction screen.</t>
  </si>
  <si>
    <t xml:space="preserve">Summary statistics</t>
  </si>
  <si>
    <t xml:space="preserve">Counts by cell type, species, experimental setting and functional module, with charts. All values are formulas on 'Interactions'.</t>
  </si>
  <si>
    <t xml:space="preserve">Evidence review</t>
  </si>
  <si>
    <t xml:space="preserve">37 interactions whose supporting evidence was added or re-examined during curation, with the evidence class and its limitations.</t>
  </si>
  <si>
    <t xml:space="preserve">Retraction screen</t>
  </si>
  <si>
    <t xml:space="preserve">Crossref check of every cited DOI for retraction, withdrawal or expression-of-concern notices.</t>
  </si>
  <si>
    <t xml:space="preserve">Columns of 'Interactions'</t>
  </si>
  <si>
    <t xml:space="preserve">Interaction ID</t>
  </si>
  <si>
    <t xml:space="preserve">Stable identifier NPMT-I001 … NPMT-I353.</t>
  </si>
  <si>
    <t xml:space="preserve">Source / Target</t>
  </si>
  <si>
    <t xml:space="preserve">Regulator and regulated node, using the node names of the model (Supplementary Table S1). Suffixes -M and -E denote Normal- and Hyper-loading state variables of the same molecule.</t>
  </si>
  <si>
    <t xml:space="preserve">Regulation / Sign</t>
  </si>
  <si>
    <t xml:space="preserve">activation (+1) or inhibition (−1). Sign is derived from Regulation.</t>
  </si>
  <si>
    <t xml:space="preserve">Source / Target module</t>
  </si>
  <si>
    <t xml:space="preserve">Primary functional module of each node, as used in the manuscript's figures.</t>
  </si>
  <si>
    <t xml:space="preserve">Cell type, Experimental model, Culture (as reported)</t>
  </si>
  <si>
    <t xml:space="preserve">Experimental context of the supporting evidence, as recorded during curation. 'Not reported' where it was not recorded.</t>
  </si>
  <si>
    <t xml:space="preserve">Cell-type group / Species group / Culture group</t>
  </si>
  <si>
    <t xml:space="preserve">Harmonised groups used for the summary statistics (definitions below).</t>
  </si>
  <si>
    <t xml:space="preserve">Reference(s)</t>
  </si>
  <si>
    <t xml:space="preserve">Full citation(s) of the supporting publication(s). DOI(s) and PMID(s) are extracted into their own columns; the first DOI is a link.</t>
  </si>
  <si>
    <t xml:space="preserve">Evidence note</t>
  </si>
  <si>
    <t xml:space="preserve">Evidence class and limitation for the 37 reviewed interactions (highlighted).</t>
  </si>
  <si>
    <t xml:space="preserve">Result of the Crossref check for the DOI(s) in that row.</t>
  </si>
  <si>
    <t xml:space="preserve">Also cited in falsification benchmark</t>
  </si>
  <si>
    <t xml:space="preserve">Marks the interactions whose reference is also cited in the falsification benchmark (Supplementary Table S2).</t>
  </si>
  <si>
    <t xml:space="preserve">Definitions</t>
  </si>
  <si>
    <t xml:space="preserve">Unit of observation</t>
  </si>
  <si>
    <t xml:space="preserve">An interaction (row). One publication can support several interactions, so percentages describe interactions, not publications.</t>
  </si>
  <si>
    <t xml:space="preserve">Cell-type group</t>
  </si>
  <si>
    <t xml:space="preserve">Any NP / nucleus pulposus label (including NP/chondrocyte) → NP. Otherwise chondrocyte or cartilage → Chondrocyte / cartilage. All other, general or missing labels → Other / not reported.</t>
  </si>
  <si>
    <t xml:space="preserve">Species group</t>
  </si>
  <si>
    <t xml:space="preserve">Human, human + animal and recognised human cell lines → Human. Otherwise rat, mouse or murine → Animal. All other species and unspecified → Other / unspecified.</t>
  </si>
  <si>
    <t xml:space="preserve">Culture group</t>
  </si>
  <si>
    <t xml:space="preserve">In vitro, Ex vivo or In vivo when only one setting is recorded; Mixed when several are; Not reported when the field is empty.</t>
  </si>
  <si>
    <t xml:space="preserve">Limitations</t>
  </si>
  <si>
    <t xml:space="preserve">Evidence strength</t>
  </si>
  <si>
    <t xml:space="preserve">Most interactions are supported by direct experimental evidence in NP cells, chondrocytes or related cells. A minority rely on indirect, pathway-level, contextual or conflicting evidence; these are listed in 'Evidence review'. The presence of a reference is not by itself proof of the modelled sign.</t>
  </si>
  <si>
    <t xml:space="preserve">Experimental context</t>
  </si>
  <si>
    <t xml:space="preserve">Cell type, model and culture were not recorded for every interaction (see the 'Not reported' counts in 'Summary statistics').</t>
  </si>
  <si>
    <t xml:space="preserve">References without DOI</t>
  </si>
  <si>
    <t xml:space="preserve">Could not be included in the automated retraction screen.</t>
  </si>
  <si>
    <t xml:space="preserve">How to cite</t>
  </si>
  <si>
    <t xml:space="preserve">Paper</t>
  </si>
  <si>
    <t xml:space="preserve">Workineh Z.G., Chemorion F.K. &amp; Noailly J. A systems-level network model reveals mechanical regulation of nucleus pulposus cell states. (2026).</t>
  </si>
  <si>
    <t xml:space="preserve">Software and data</t>
  </si>
  <si>
    <t xml:space="preserve">Workineh Z.G., Chemorion F.K. &amp; Noailly J. np-mt-rnm. Zenodo (2026). https://doi.org/10.5281/zenodo.23195857</t>
  </si>
  <si>
    <t xml:space="preserve">Version</t>
  </si>
  <si>
    <t xml:space="preserve">Corpus of 353 interactions; file generated 2026-10-11.</t>
  </si>
  <si>
    <t xml:space="preserve">Source</t>
  </si>
  <si>
    <t xml:space="preserve">Regulation</t>
  </si>
  <si>
    <t xml:space="preserve">Target</t>
  </si>
  <si>
    <t xml:space="preserve">Sign</t>
  </si>
  <si>
    <t xml:space="preserve">Source module</t>
  </si>
  <si>
    <t xml:space="preserve">Target module</t>
  </si>
  <si>
    <t xml:space="preserve">Cell type (as reported)</t>
  </si>
  <si>
    <t xml:space="preserve">Experimental model (as reported)</t>
  </si>
  <si>
    <t xml:space="preserve">Culture (as reported)</t>
  </si>
  <si>
    <t xml:space="preserve">DOI(s)</t>
  </si>
  <si>
    <t xml:space="preserve">PMID(s)</t>
  </si>
  <si>
    <t xml:space="preserve">Also cited in falsification benchmark (Table S2)</t>
  </si>
  <si>
    <t xml:space="preserve">NPMT-I001</t>
  </si>
  <si>
    <t xml:space="preserve">HIF-1α</t>
  </si>
  <si>
    <t xml:space="preserve">activation</t>
  </si>
  <si>
    <t xml:space="preserve">ACAN</t>
  </si>
  <si>
    <t xml:space="preserve">Transcription Factors</t>
  </si>
  <si>
    <t xml:space="preserve">ECM anabolism &amp; phenotype markers</t>
  </si>
  <si>
    <t xml:space="preserve">Nucleus pulposus</t>
  </si>
  <si>
    <t xml:space="preserve">NP / nucleus pulposus</t>
  </si>
  <si>
    <t xml:space="preserve">Human NP cells</t>
  </si>
  <si>
    <t xml:space="preserve">Human</t>
  </si>
  <si>
    <t xml:space="preserve">In vitro</t>
  </si>
  <si>
    <t xml:space="preserve">Liu Z, Li C, Meng X, Bai Y, Qi J, Wang J, Zhou Q, Zhang W, Zhang X. Hypoxia-inducible factor-1α mediates aggrecan and collagen II expression via NOTCH1 signaling in nucleus pulposus cells during intervertebral disc degeneration. Biochem Biophys Res Commun. 2017;488(3):554-561. doi: 10.1016/j.bbrc.2017.05.086. PMID: 28526405.</t>
  </si>
  <si>
    <t xml:space="preserve">10.1016/j.bbrc.2017.05.086</t>
  </si>
  <si>
    <t xml:space="preserve">28526405</t>
  </si>
  <si>
    <t xml:space="preserve">Supported in NP — HIF-1α overexpression increased aggrecan</t>
  </si>
  <si>
    <t xml:space="preserve">No notice found</t>
  </si>
  <si>
    <t xml:space="preserve">NPMT-I002</t>
  </si>
  <si>
    <t xml:space="preserve">PPARγ</t>
  </si>
  <si>
    <t xml:space="preserve">NP</t>
  </si>
  <si>
    <t xml:space="preserve">Human/Rat</t>
  </si>
  <si>
    <t xml:space="preserve">2D, in vitro</t>
  </si>
  <si>
    <t xml:space="preserve">Cheng P, Wei HZ, Chen HW, Wang ZQ, Mao P, Zhang HH. DNMT3a-mediated methylation of PPARγ promote intervertebral disc degeneration by regulating the NF-κB pathway. J Cell Mol Med. 2024 Jan;28(2):e18048. doi: 10.1111/jcmm.18048. Epub 2023 Nov 20. PMID: 37986543; PMCID: PMC10826446.</t>
  </si>
  <si>
    <t xml:space="preserve">10.1111/jcmm.18048</t>
  </si>
  <si>
    <t xml:space="preserve">37986543</t>
  </si>
  <si>
    <t xml:space="preserve">NPMT-I003</t>
  </si>
  <si>
    <t xml:space="preserve">SOX9</t>
  </si>
  <si>
    <t xml:space="preserve">rat</t>
  </si>
  <si>
    <t xml:space="preserve">Animal</t>
  </si>
  <si>
    <t xml:space="preserve">3D, in vitro</t>
  </si>
  <si>
    <t xml:space="preserve">Cheng CC, Uchiyama Y, Hiyama A, Gajghate S, Shapiro IM, Risbud MV. PI3K/AKT regulates aggrecan gene expression by modulating Sox9 expression and activity in nucleus pulposus cells of the intervertebral disc. J Cell Physiol. 2009 Dec;221(3):668-76. doi: 10.1002/jcp.21904. PMID: 19711351; PMCID: PMC3042319.</t>
  </si>
  <si>
    <t xml:space="preserve">10.1002/jcp.21904</t>
  </si>
  <si>
    <t xml:space="preserve">19711351</t>
  </si>
  <si>
    <t xml:space="preserve">NPMT-I004</t>
  </si>
  <si>
    <t xml:space="preserve">HIF-2α</t>
  </si>
  <si>
    <t xml:space="preserve">ADAMTS4/5</t>
  </si>
  <si>
    <t xml:space="preserve">Cytokines, chemokines, proteases &amp; others</t>
  </si>
  <si>
    <t xml:space="preserve">human</t>
  </si>
  <si>
    <t xml:space="preserve">Huang Y, Wang Y, Wu C, Tian W. Elevated expression of hypoxia-inducible factor-2alpha regulated catabolic factors during intervertebral disc degeneration. Life Sci. 2019 Sep 1;232:116565. doi: 10.1016/j.lfs.2019.116565. Epub 2019 Jun 26. PMID: 31251999.</t>
  </si>
  <si>
    <t xml:space="preserve">10.1016/j.lfs.2019.116565</t>
  </si>
  <si>
    <t xml:space="preserve">31251999</t>
  </si>
  <si>
    <t xml:space="preserve">NPMT-I005</t>
  </si>
  <si>
    <t xml:space="preserve">JNK</t>
  </si>
  <si>
    <t xml:space="preserve">MAPK &amp; stress-activated kinases</t>
  </si>
  <si>
    <t xml:space="preserve">2d, in vitro</t>
  </si>
  <si>
    <t xml:space="preserve">Li JK, Nie L, Zhao YP, Zhang YQ, Wang X, Wang SS, Liu Y, Zhao H, Cheng L. IL-17 mediates inflammatory reactions via p38/c-Fos and JNK/c-Jun activation in an AP-1-dependent manner in human nucleus pulposus cells. J Transl Med. 2016 Mar 17;14:77. doi: 10.1186/s12967-016-0833-9. PMID: 26988982; PMCID: PMC4794827.</t>
  </si>
  <si>
    <t xml:space="preserve">10.1186/s12967-016-0833-9</t>
  </si>
  <si>
    <t xml:space="preserve">26988982</t>
  </si>
  <si>
    <t xml:space="preserve">NPMT-I006</t>
  </si>
  <si>
    <t xml:space="preserve">NF-κB</t>
  </si>
  <si>
    <t xml:space="preserve">Sun Z, Yin Z, Liu C, Liang H, Jiang M, Tian J. IL-1β promotes ADAMTS enzyme-mediated aggrecan degradation through NF-κB in human intervertebral disc. J Orthop Surg Res. 2015 Oct 6;10:159. doi: 10.1186/s13018-015-0296-3. PMID: 26438479; PMCID: PMC4594913.</t>
  </si>
  <si>
    <t xml:space="preserve">10.1186/s13018-015-0296-3</t>
  </si>
  <si>
    <t xml:space="preserve">26438479</t>
  </si>
  <si>
    <t xml:space="preserve">NPMT-I007</t>
  </si>
  <si>
    <t xml:space="preserve">P38</t>
  </si>
  <si>
    <t xml:space="preserve">Chondrocytes</t>
  </si>
  <si>
    <t xml:space="preserve">Chondrocyte / cartilage</t>
  </si>
  <si>
    <t xml:space="preserve">Human osteoarthritic chondrocytes</t>
  </si>
  <si>
    <t xml:space="preserve">Xue J, Wang J, Liu Q, Luo A. Tumor necrosis factor-α induces ADAMTS-4 expression in human osteoarthritis chondrocytes. Mol Med Rep. 2013;8(6):1755-1760. doi: 10.3892/mmr.2013.1729. PMID: 24126638.</t>
  </si>
  <si>
    <t xml:space="preserve">10.3892/mmr.2013.1729</t>
  </si>
  <si>
    <t xml:space="preserve">24126638</t>
  </si>
  <si>
    <t xml:space="preserve">Partial: ADAMTS4 only — p38 dependent TNF-α induction of ADAMTS4; NOT demonstrated for ADAMTS5</t>
  </si>
  <si>
    <t xml:space="preserve">NPMT-I008</t>
  </si>
  <si>
    <t xml:space="preserve">inhibition</t>
  </si>
  <si>
    <t xml:space="preserve">NPMT-I009</t>
  </si>
  <si>
    <t xml:space="preserve">mTORC2</t>
  </si>
  <si>
    <t xml:space="preserve">AKT1-E</t>
  </si>
  <si>
    <t xml:space="preserve">Metabolic &amp; related</t>
  </si>
  <si>
    <t xml:space="preserve">Ito M, Yurube T, Kakutani K, Maeno K, Takada T, Terashima Y, Kakiuchi Y, Takeoka Y, Miyazaki S, Kuroda R, Nishida K. Selective interference of mTORC1/RAPTOR protects against human disc cellular apoptosis, senescence, and extracellular matrix catabolism with Akt and autophagy induction. Osteoarthritis Cartilage. 2017 Dec;25(12):2134-2146. doi: 10.1016/j.joca.2017.08.019. Epub 2017 Sep 6. PMID: 28888905.</t>
  </si>
  <si>
    <t xml:space="preserve">10.1016/j.joca.2017.08.019</t>
  </si>
  <si>
    <t xml:space="preserve">28888905</t>
  </si>
  <si>
    <t xml:space="preserve">NPMT-I010</t>
  </si>
  <si>
    <t xml:space="preserve">PDK1-E</t>
  </si>
  <si>
    <t xml:space="preserve">Not reported</t>
  </si>
  <si>
    <t xml:space="preserve">Other / not reported</t>
  </si>
  <si>
    <t xml:space="preserve">Other / unspecified</t>
  </si>
  <si>
    <t xml:space="preserve">Dangelmaier C, Manne BK, Liverani E, Jin J, Bray P, Kunapuli SP. PDK1 selectively phosphorylates Thr(308) on Akt and contributes to human platelet functional responses. Thromb Haemost. 2014 Mar 3;111(3):508-17. doi: 10.1160/TH13-06-0484. Epub 2013 Dec 19. PMID: 24352480; PMCID: PMC4079046.</t>
  </si>
  <si>
    <t xml:space="preserve">10.1160/th13-06-0484</t>
  </si>
  <si>
    <t xml:space="preserve">24352480</t>
  </si>
  <si>
    <t xml:space="preserve">NPMT-I011</t>
  </si>
  <si>
    <t xml:space="preserve">PIP3-M</t>
  </si>
  <si>
    <t xml:space="preserve">Stokoe D, Stephens LR, Copeland T, Gaffney PR, Reese CB, Painter GF, Holmes AB, McCormick F, Hawkins PT. Dual role of phosphatidylinositol-3,4,5-trisphosphate in the activation of protein kinase B. Science. 1997;277(5325):567-570. doi: 10.1126/science.277.5325.567. PMID: 9228007.</t>
  </si>
  <si>
    <t xml:space="preserve">10.1126/science.277.5325.567</t>
  </si>
  <si>
    <t xml:space="preserve">9228007</t>
  </si>
  <si>
    <t xml:space="preserve">Contextual; direction conflicts — PIP3 recruits and promotes activation of AKT; no M-to-E cross-compartment inhibition shown. Cited because it directly studies PIP3 and AKT1, but it supports activation and does not validate negative sign or M/E topology</t>
  </si>
  <si>
    <t xml:space="preserve">NPMT-I012</t>
  </si>
  <si>
    <t xml:space="preserve">AKT1-M</t>
  </si>
  <si>
    <t xml:space="preserve">NPMT-I013</t>
  </si>
  <si>
    <t xml:space="preserve">PDK1-M</t>
  </si>
  <si>
    <t xml:space="preserve">NPMT-I014</t>
  </si>
  <si>
    <t xml:space="preserve">PIP3-E</t>
  </si>
  <si>
    <t xml:space="preserve">Contextual; direction conflicts — PIP3 recruits and promotes activation of AKT; no E-to-M cross-compartment inhibition shown. Same primary paper supports generic PIP3–AKT molecular interaction, not negative sign or compartment-specific effect</t>
  </si>
  <si>
    <t xml:space="preserve">NPMT-I015</t>
  </si>
  <si>
    <t xml:space="preserve">Ca2+os</t>
  </si>
  <si>
    <t xml:space="preserve">AMPK</t>
  </si>
  <si>
    <t xml:space="preserve">Ion channels &amp; related</t>
  </si>
  <si>
    <t xml:space="preserve">Woods A, Dickerson K, Heath R, et al. Ca2+/calmodulin-dependent protein kinase kinase-beta acts upstream of AMP-activated protein kinase in mammalian cells. Cell Metab. 2005;2(1):21-33. doi: 10.1016/j.cmet.2005.06.005. PMID: 16054096.</t>
  </si>
  <si>
    <t xml:space="preserve">10.1016/j.cmet.2005.06.005</t>
  </si>
  <si>
    <t xml:space="preserve">16054096</t>
  </si>
  <si>
    <t xml:space="preserve">Indirect mechanistic support — Ca2+ can activate AMPK via CaMKKβ; osmotic compartment not tested.</t>
  </si>
  <si>
    <t xml:space="preserve">NPMT-I016</t>
  </si>
  <si>
    <t xml:space="preserve">LKB1</t>
  </si>
  <si>
    <t xml:space="preserve">Chondrocyte</t>
  </si>
  <si>
    <t xml:space="preserve">mouse</t>
  </si>
  <si>
    <t xml:space="preserve">Petursson F, Husa M, June R, Lotz M, Terkeltaub R, Liu-Bryan R. Linked decreases in liver kinase B1 and AMP-activated protein kinase activity modulate matrix catabolic responses to biomechanical injury in chondrocytes. Arthritis Res Ther. 2013 Jul 25;15(4):R77. doi: 10.1186/ar4254. PMID: 23883619; PMCID: PMC3979085.</t>
  </si>
  <si>
    <t xml:space="preserve">10.1186/ar4254</t>
  </si>
  <si>
    <t xml:space="preserve">23883619</t>
  </si>
  <si>
    <t xml:space="preserve">NPMT-I017</t>
  </si>
  <si>
    <t xml:space="preserve">ROS</t>
  </si>
  <si>
    <t xml:space="preserve">Oxidative-stress defense &amp; proteostasis</t>
  </si>
  <si>
    <t xml:space="preserve">Other cells</t>
  </si>
  <si>
    <t xml:space="preserve">Mouse embryonic fibroblasts / osteosarcoma cells</t>
  </si>
  <si>
    <t xml:space="preserve">Emerling BM, Weinberg F, Snyder C, Burgess Z, Mutlu GM, Viollet B, Budinger GRS, Chandel NS. Hypoxic activation of AMPK is dependent on mitochondrial ROS but independent of an increase in AMP/ATP ratio. Free Radic Biol Med. 2009;46(10):1386-1391. doi: 10.1016/j.freeradbiomed.2009.02.019. PMID: 19268526.</t>
  </si>
  <si>
    <t xml:space="preserve">10.1016/j.freeradbiomed.2009.02.019</t>
  </si>
  <si>
    <t xml:space="preserve">19268526</t>
  </si>
  <si>
    <t xml:space="preserve">Supported in other cells — ROS-dependent AMPK activation in hypoxic cultured cells; not NP-specific</t>
  </si>
  <si>
    <t xml:space="preserve">NPMT-I018</t>
  </si>
  <si>
    <t xml:space="preserve">mTORC1</t>
  </si>
  <si>
    <t xml:space="preserve">Ling NXY, Kaczmarek A, Hoque A, Davie E, Ngoei KRW, Morrison KR, Smiles WJ, Forte GM, Wang T, Lie S, Dite TA, Langendorf CG, Scott JW, Oakhill JS, Petersen J. mTORC1 directly inhibition AMPK to promote cell proliferation under nutrient stress. Nat Metab. 2020 Jan;2(1):41-49. doi: 10.1038/s42255-019-0157-1. Epub 2020 Jan 20. PMID: 31993556; PMCID: PMC6986917.</t>
  </si>
  <si>
    <t xml:space="preserve">10.1038/s42255-019-0157-1</t>
  </si>
  <si>
    <t xml:space="preserve">31993556</t>
  </si>
  <si>
    <t xml:space="preserve">NPMT-I019</t>
  </si>
  <si>
    <t xml:space="preserve">CREB</t>
  </si>
  <si>
    <t xml:space="preserve">ANXA1</t>
  </si>
  <si>
    <t xml:space="preserve">Other / unclassified</t>
  </si>
  <si>
    <t xml:space="preserve">General</t>
  </si>
  <si>
    <t xml:space="preserve">Antonicelli F, De Coupade C, Russo-Marie F, Le Garrec Y. CREB is involved in mouse annexin A1 regulation by cAMP and glucocorticoids. Eur J Biochem. 2001 Jan;268(1)</t>
  </si>
  <si>
    <t xml:space="preserve">Not screened (no DOI)</t>
  </si>
  <si>
    <t xml:space="preserve">NPMT-I020</t>
  </si>
  <si>
    <t xml:space="preserve">ERK-E</t>
  </si>
  <si>
    <t xml:space="preserve">AP-1</t>
  </si>
  <si>
    <t xml:space="preserve">Papachristou DJ, Pirttiniemi P, Kantomaa T, Papavassiliou AG, Basdra EK. JNK/ERK-AP-1/Runx2 induction "paves the way" to cartilage load-ignited chondroblastic differentiation. Histochem Cell Biol. 2005 Sep;124(3-4):215-23. doi: 10.1007/s00418-005-0026-8. Epub 2005 Oct 28. PMID: 16041628.</t>
  </si>
  <si>
    <t xml:space="preserve">10.1007/s00418-005-0026-8</t>
  </si>
  <si>
    <t xml:space="preserve">16041628</t>
  </si>
  <si>
    <t xml:space="preserve">NPMT-I021</t>
  </si>
  <si>
    <t xml:space="preserve">NPMT-I022</t>
  </si>
  <si>
    <t xml:space="preserve">NPMT-I023</t>
  </si>
  <si>
    <t xml:space="preserve">chondrocyte</t>
  </si>
  <si>
    <t xml:space="preserve">Fahmi H, Di Battista JA, Pelletier JP, Mineau F, Ranger P, Martel-Pelletier J. Peroxisome proliferator--activated receptor gamma activators inhibit interleukin-1beta-induced nitric oxide and matrix metalloproteinase 13 production in human chondrocytes. Arthritis Rheum. 2001 Mar;44(3):595-607. doi: 10.1002/1529-0131(200103)44:3&lt;595::AID-ANR108&gt;3.0.CO;2-8. PMID: 11263774.</t>
  </si>
  <si>
    <t xml:space="preserve">10.1002/1529-0131(200103)44:3&lt;595::aid-anr108&gt;3.0.co;2-8</t>
  </si>
  <si>
    <t xml:space="preserve">11263774</t>
  </si>
  <si>
    <t xml:space="preserve">NPMT-I024</t>
  </si>
  <si>
    <t xml:space="preserve">Chondrocytes; epidermal stem cells</t>
  </si>
  <si>
    <t xml:space="preserve">Mouse chondrocytes; epidermal stem cells</t>
  </si>
  <si>
    <t xml:space="preserve">In vivo / in vitro</t>
  </si>
  <si>
    <t xml:space="preserve">Mixed</t>
  </si>
  <si>
    <t xml:space="preserve">He X, Ohba S, Hojo H, McMahon AP. AP-1 family members act with Sox9 to promote chondrocyte hypertrophy. Development. 2016;143(16):3012-3023. doi: 10.1242/dev.134502. PMID: 27471255.
Yang Y, Gomez N, Infarinato N, et al. The pioneer factor SOX9 competes for epigenetic factors to switch stem cell fates. Nat Cell Biol. 2023;25:1185-1195. doi: 10.1038/s41556-023-01184-y.
[Evidence caveat: Context-dependent cooperation or altered occupancy; not general inhibition.]</t>
  </si>
  <si>
    <t xml:space="preserve">10.1242/dev.134502; 10.1038/s41556-023-01184-y</t>
  </si>
  <si>
    <t xml:space="preserve">27471255</t>
  </si>
  <si>
    <t xml:space="preserve">contextual / conflicting, NOT sign-validated — Context-dependent cooperation or altered occupancy; not general inhibition.</t>
  </si>
  <si>
    <t xml:space="preserve">NPMT-I025</t>
  </si>
  <si>
    <t xml:space="preserve">AQP1</t>
  </si>
  <si>
    <t xml:space="preserve">Johnson ZI, Gogate SS, Day R, Binch A, Markova DZ, Chiverton N, Cole A, Conner M, Shapiro IM, Le Maitre CL, Risbud MV. Aquaporin 1 and 5 expression decreases during human intervertebral disc degeneration: Novel HIF-1-mediated regulation of aquaporins in NP cells. Oncotarget. 2015 May 20;6(14):11945-58. doi: 10.18632/oncotarget.3631. PMID: 25844601; PMCID: PMC4494915.</t>
  </si>
  <si>
    <t xml:space="preserve">10.18632/oncotarget.3631</t>
  </si>
  <si>
    <t xml:space="preserve">25844601</t>
  </si>
  <si>
    <t xml:space="preserve">NPMT-I026</t>
  </si>
  <si>
    <t xml:space="preserve">TonEBP</t>
  </si>
  <si>
    <t xml:space="preserve">Snuggs, J.W., Tessier, S., Bunning, R.A.B. et al. TonEBP regulates the hyperosmotic expression of aquaporin 1 and 5 in the intervertebral disc. Sci Rep 11, 3164 (2021). https://doi.org/10.1038/s41598-021-81838-9</t>
  </si>
  <si>
    <t xml:space="preserve">10.1038/s41598-021-81838-9</t>
  </si>
  <si>
    <t xml:space="preserve">NPMT-I027</t>
  </si>
  <si>
    <t xml:space="preserve">Sada K, Nishikawa T, Kukidome D, Yoshinaga T, Kajihara N, Sonoda K, Senokuchi T, Motoshima H, Matsumura T, Araki E. Hyperglycemia Induces Cellular Hypoxia through Production of Mitochondrial ROS Followed by Suppression of Aquaporin-1. PLoS One. 2016 Jul 6;11(7):e0158619. doi: 10.1371/journal.pone.0158619. PMID: 27383386; PMCID: PMC4934928.</t>
  </si>
  <si>
    <t xml:space="preserve">10.1371/journal.pone.0158619</t>
  </si>
  <si>
    <t xml:space="preserve">27383386</t>
  </si>
  <si>
    <t xml:space="preserve">NPMT-I028</t>
  </si>
  <si>
    <t xml:space="preserve">AQP5</t>
  </si>
  <si>
    <t xml:space="preserve">NPMT-I029</t>
  </si>
  <si>
    <t xml:space="preserve">NPMT-I030</t>
  </si>
  <si>
    <t xml:space="preserve">Mlinarić M, Lučić I, Tomljanović M, Tartaro Bujak I, Milković L, Čipak Gašparović A. AQP3 and AQP5 Modulation in Response to Prolonged Oxidative Stress in Breast Cancer Cell Lines. Antioxidants (Basel). 2024 May 21;13(6):626. doi: 10.3390/antiox13060626. PMID: 38929065; PMCID: PMC11200458.</t>
  </si>
  <si>
    <t xml:space="preserve">10.3390/antiox13060626</t>
  </si>
  <si>
    <t xml:space="preserve">38929065</t>
  </si>
  <si>
    <t xml:space="preserve">NPMT-I031</t>
  </si>
  <si>
    <t xml:space="preserve">BAD</t>
  </si>
  <si>
    <t xml:space="preserve">Zou M, Chen W, Li J, Qi X, Wang X, Liu F, Hu J, Zhang Q. Apoptosis Signal-Regulated Kinase-1 Promotes Nucleus Pulposus Cell Senescence and Apoptosis to Regulate Intervertebral Disc Degeneration. Am J Pathol. 2024 Sep;194(9):1737-1751. doi: 10.1016/j.ajpath.2024.05.004. Epub 2024 Jun 13. PMID: 38879082.</t>
  </si>
  <si>
    <t xml:space="preserve">10.1016/j.ajpath.2024.05.004</t>
  </si>
  <si>
    <t xml:space="preserve">38879082</t>
  </si>
  <si>
    <t xml:space="preserve">NPMT-I032</t>
  </si>
  <si>
    <t xml:space="preserve">Cartilage tissue</t>
  </si>
  <si>
    <t xml:space="preserve">Mouse</t>
  </si>
  <si>
    <t xml:space="preserve">In vivo</t>
  </si>
  <si>
    <t xml:space="preserve">Qian J, Zhao P, Xu Q, Yang W, Cai R. Swimming prevents cell death of chondrocytes via PI3K/AKT pathway in an experimental model. J Orthop Surg Res. 2023 Jun 17;18(1):439. doi: 10.1186/s13018-023-03815-4. PMID: 37328786; PMCID: PMC10276397.</t>
  </si>
  <si>
    <t xml:space="preserve">10.1186/s13018-023-03815-4</t>
  </si>
  <si>
    <t xml:space="preserve">37328786</t>
  </si>
  <si>
    <t xml:space="preserve">NPMT-I033</t>
  </si>
  <si>
    <t xml:space="preserve">BAX</t>
  </si>
  <si>
    <t xml:space="preserve">Cell survival, apoptosis &amp; mitophagy/DNA-damage</t>
  </si>
  <si>
    <t xml:space="preserve">Gao G, Ding H, Zhuang C, Fan W. Effects of Hesperidin on H₂O₂-Treated Chondrocytes and Cartilage in a Rat Osteoarthritis Model. Med Sci Monit. 2018 Dec 17;24:9177-9186. doi: 10.12659/MSM.913726. PMID: 30557884; PMCID: PMC6319163.</t>
  </si>
  <si>
    <t xml:space="preserve">10.12659/msm.913726</t>
  </si>
  <si>
    <t xml:space="preserve">30557884</t>
  </si>
  <si>
    <t xml:space="preserve">NPMT-I034</t>
  </si>
  <si>
    <t xml:space="preserve">Bcl2</t>
  </si>
  <si>
    <t xml:space="preserve">Dlugosz PJ, Billen LP, Annis MG, Zhu W, Zhang Z, Lin J, Leber B, Andrews DW. Bcl-2 changes conformation to inhibit Bax oligomerization. EMBO J. 2006 Jun 7;25(11):2287-96. doi: 10.1038/sj.emboj.7601126. Epub 2006 Apr 27. PMID: 16642033; PMCID: PMC1478188.</t>
  </si>
  <si>
    <t xml:space="preserve">10.1038/sj.emboj.7601126</t>
  </si>
  <si>
    <t xml:space="preserve">16642033</t>
  </si>
  <si>
    <t xml:space="preserve">NPMT-I035</t>
  </si>
  <si>
    <t xml:space="preserve">NPMT-I036</t>
  </si>
  <si>
    <t xml:space="preserve">NPMT-I037</t>
  </si>
  <si>
    <t xml:space="preserve">chondrocytes</t>
  </si>
  <si>
    <t xml:space="preserve">in vivo</t>
  </si>
  <si>
    <t xml:space="preserve">Ma Q, Li X, Vale-Cruz D, Brown ML, Beier F, LuValle P. Activating transcription factor 2 controls Bcl-2 promoter activity in growth plate chondrocytes. J Cell Biochem. 2007 May 15;101(2):477-87. doi: 10.1002/jcb.21198. PMID: 17219413.</t>
  </si>
  <si>
    <t xml:space="preserve">10.1002/jcb.21198</t>
  </si>
  <si>
    <t xml:space="preserve">17219413</t>
  </si>
  <si>
    <t xml:space="preserve">NPMT-I038</t>
  </si>
  <si>
    <t xml:space="preserve">NPMT-I039</t>
  </si>
  <si>
    <t xml:space="preserve">Kale, J., Osterlund, E. &amp; Andrews, D. BCL-2 family proteins: changing partners in the dance towards death. Cell Death Differ 25, 65–80 (2018). https://doi.org/10.1038/cdd.2017.186</t>
  </si>
  <si>
    <t xml:space="preserve">10.1038/cdd.2017.186</t>
  </si>
  <si>
    <t xml:space="preserve">NPMT-I040</t>
  </si>
  <si>
    <t xml:space="preserve">NPMT-I041</t>
  </si>
  <si>
    <t xml:space="preserve">BMP2</t>
  </si>
  <si>
    <t xml:space="preserve">Growth factors</t>
  </si>
  <si>
    <t xml:space="preserve">osteoblast</t>
  </si>
  <si>
    <t xml:space="preserve">murine</t>
  </si>
  <si>
    <t xml:space="preserve">Wu, J. B., Fong, Y. C., Tsai, H. Y., Chen, Y. F., Tsuzuki, M., &amp; Tang, C. H. (2008). Naringin-induced bone morphogenetic protein-2 expression via PI3K, Akt, c-Fos/c-Jun and AP-1 pathway in osteoblasts. European journal of pharmacology, 588(2-3), 333-341.</t>
  </si>
  <si>
    <t xml:space="preserve">NPMT-I042</t>
  </si>
  <si>
    <t xml:space="preserve">2D/3D, ex vivo/in vitro</t>
  </si>
  <si>
    <t xml:space="preserve">Sandell LJ, Xing X, Franz C, Davies S, Chang LW, Patra D. Exuberant expression of chemokine genes by adult human articular chondrocytes in response to IL-1beta. Osteoarthritis Cartilage. 2008 Dec;16(12):1560-71. doi: 10.1016/j.joca.2008.04.027. Epub 2008 Jun 18. PMID: 18565769; PMCID: PMC2605974.</t>
  </si>
  <si>
    <t xml:space="preserve">10.1016/j.joca.2008.04.027</t>
  </si>
  <si>
    <t xml:space="preserve">18565769</t>
  </si>
  <si>
    <t xml:space="preserve">NPMT-I043</t>
  </si>
  <si>
    <t xml:space="preserve">RUNX2</t>
  </si>
  <si>
    <t xml:space="preserve">general</t>
  </si>
  <si>
    <t xml:space="preserve">Choi KY, Kim HJ, Lee MH, Kwon TG, Nah HD, Furuichi T, Komori T, Nam SH, Kim YJ, Kim HJ, Ryoo HM. Runx2 regulates FGF2-induced Bmp2 expression during cranial bone development. Dev Dyn. 2005 May;233(1):115-21. doi: 10.1002/dvdy.20323. PMID: 15765505.</t>
  </si>
  <si>
    <t xml:space="preserve">10.1002/dvdy.20323</t>
  </si>
  <si>
    <t xml:space="preserve">15765505</t>
  </si>
  <si>
    <t xml:space="preserve">NPMT-I044</t>
  </si>
  <si>
    <t xml:space="preserve">BNIP3</t>
  </si>
  <si>
    <t xml:space="preserve">Madhu V, Boneski PK, Silagi E, Qiu Y, Kurland I, Guntur AR, Shapiro IM, Risbud MV. Hypoxic Regulation of Mitochondrial Metabolism and Mitophagy in Nucleus Pulposus Cells Is Dependent on HIF-1α-BNIP3 Axis. J Bone Miner Res. 2020 Aug;35(8):1504-1524. doi: 10.1002/jbmr.4019. Epub 2020 May 15. PMID: 32251541; PMCID: PMC7778522.</t>
  </si>
  <si>
    <t xml:space="preserve">10.1002/jbmr.4019</t>
  </si>
  <si>
    <t xml:space="preserve">32251541</t>
  </si>
  <si>
    <t xml:space="preserve">NPMT-I045</t>
  </si>
  <si>
    <t xml:space="preserve">NRF2</t>
  </si>
  <si>
    <t xml:space="preserve">Riis S, Murray JB, O'Connor R. IGF-1 Signalling Regulates Mitochondria Dynamics and Turnover through a Conserved GSK-3β-Nrf2-BNIP3 Pathway. Cells. 2020 Jan 8;9(1):147. doi: 10.3390/cells9010147. PMID: 31936236; PMCID: PMC7016769.</t>
  </si>
  <si>
    <t xml:space="preserve">10.3390/cells9010147</t>
  </si>
  <si>
    <t xml:space="preserve">31936236</t>
  </si>
  <si>
    <t xml:space="preserve">NPMT-I046</t>
  </si>
  <si>
    <t xml:space="preserve">TRPV4</t>
  </si>
  <si>
    <t xml:space="preserve">Mechanical stimuli &amp; its receptors</t>
  </si>
  <si>
    <t xml:space="preserve">NP/AF</t>
  </si>
  <si>
    <t xml:space="preserve">bovine/human</t>
  </si>
  <si>
    <t xml:space="preserve">2D, in vitro/ex vivo</t>
  </si>
  <si>
    <t xml:space="preserve">Walter BA, Purmessur D, Moon A, Occhiogrosso J, Laudier DM, Hecht AC, Iatridis JC. Reduced tissue osmolarity increases TRPV4 expression and pro-inflammatory cytokines in intervertebral disc cells. Eur Cell Mater. 2016 Jul 19;32:123-36. doi: 10.22203/ecm.v032a08. PMID: 27434269; PMCID: PMC5072776.</t>
  </si>
  <si>
    <t xml:space="preserve">10.22203/ecm.v032a08</t>
  </si>
  <si>
    <t xml:space="preserve">27434269</t>
  </si>
  <si>
    <t xml:space="preserve">NPMT-I047</t>
  </si>
  <si>
    <t xml:space="preserve">IP3</t>
  </si>
  <si>
    <t xml:space="preserve">Ca2+su</t>
  </si>
  <si>
    <t xml:space="preserve">Growth-plate chondrocytes</t>
  </si>
  <si>
    <t xml:space="preserve">Ekstein J, Nasatzky E, Boyan BD, Ornoy A, Schwartz Z. Growth-plate chondrocytes respond to 17beta-estradiol with sex-specific increases in IP3 and intracellular calcium ion signalling via a capacitative entry mechanism. Steroids. 2005;70(11):775-786. doi: 10.1016/j.steroids.2005.04.007. PMID: 16005036.</t>
  </si>
  <si>
    <t xml:space="preserve">10.1016/j.steroids.2005.04.007</t>
  </si>
  <si>
    <t xml:space="preserve">16005036</t>
  </si>
  <si>
    <t xml:space="preserve">Supported in chondrocytes — IP3 production drives calcium release from endoplasmic reticulum</t>
  </si>
  <si>
    <t xml:space="preserve">NPMT-I048</t>
  </si>
  <si>
    <t xml:space="preserve">PIEZO1</t>
  </si>
  <si>
    <t xml:space="preserve">Sun Y, Leng P, Song M, Li D, Guo P, Xu X, Gao H, Li Z, Li C, Zhang H. Piezo1 activation the NLRP3 inflammasome in nucleus pulposus cell-mediated by Ca2+/NF-κB pathway. Int Immunopharmacol. 2020 Aug;85:106681. doi: 10.1016/j.intimp.2020.106681. Epub 2020 Jun 8. PMID: 32526681.</t>
  </si>
  <si>
    <t xml:space="preserve">10.1016/j.intimp.2020.106681</t>
  </si>
  <si>
    <t xml:space="preserve">32526681</t>
  </si>
  <si>
    <t xml:space="preserve">NPMT-I049</t>
  </si>
  <si>
    <t xml:space="preserve">CaMKII</t>
  </si>
  <si>
    <t xml:space="preserve">Nalesso, G., Thorup, AS., Eldridge, S.E. et al. Calcium calmodulin kinase II activity is required for cartilage homeostasis in osteoarthritis. Sci Rep 11, 5682 (2021). https://doi.org/10.1038/s41598-021-82067-w</t>
  </si>
  <si>
    <t xml:space="preserve">10.1038/s41598-021-82067-w</t>
  </si>
  <si>
    <t xml:space="preserve">NPMT-I050</t>
  </si>
  <si>
    <t xml:space="preserve">CaN</t>
  </si>
  <si>
    <t xml:space="preserve">Huang B, He Y, Li S, Wei X, Liu J, Shan Z, Huang Y, Chen J, Zhao F. The RCAN1.4-calcineurin/NFAT signaling pathway is essential for hypoxic adaption of intervertebral discs. Exp Mol Med. 2020 May;52(5):865-875. doi: 10.1038/s12276-020-0441-x. Epub 2020 May 29. PMID: 32467610; PMCID: PMC7272636.  Lin, W., Shi, C., Wang, W., Wu, H., Yang, C., Wang, A., ... &amp; Yuan, W. (2019). Osmolarity and calcium regulate connective tissue growth factor (CTGF/CCN2) expression in nucleus pulposus cells. Gene, 704, 15-24.</t>
  </si>
  <si>
    <t xml:space="preserve">10.1038/s12276-020-0441-x</t>
  </si>
  <si>
    <t xml:space="preserve">32467610</t>
  </si>
  <si>
    <t xml:space="preserve">NPMT-I051</t>
  </si>
  <si>
    <t xml:space="preserve">Tonks NK, Cohen P. Calcineurin is a calcium ion-dependent, calmodulin-stimulated protein phosphatase. Biochim Biophys Acta. 1983 Sep 14;747(1-2):191-3. doi: 10.1016/0167-4838(83)90140-1. PMID: 6309241.</t>
  </si>
  <si>
    <t xml:space="preserve">10.1016/0167-4838(83)90140-1</t>
  </si>
  <si>
    <t xml:space="preserve">6309241</t>
  </si>
  <si>
    <t xml:space="preserve">NPMT-I052</t>
  </si>
  <si>
    <t xml:space="preserve">CASP9</t>
  </si>
  <si>
    <t xml:space="preserve">CASP3</t>
  </si>
  <si>
    <t xml:space="preserve">Bao, Q., Shi, Y. Apoptosome: a platform for the activation of initiator caspases. Cell Death Differ 14, 56–65 (2007). https://doi.org/10.1038/sj.cdd.4402028</t>
  </si>
  <si>
    <t xml:space="preserve">10.1038/sj.cdd.4402028</t>
  </si>
  <si>
    <t xml:space="preserve">NPMT-I053</t>
  </si>
  <si>
    <t xml:space="preserve">MOMP</t>
  </si>
  <si>
    <t xml:space="preserve">Suhaili SH, Karimian H, Stellato M, Lee TH, Aguilar MI. Mitochondrial outer membrane permeabilization: a focus on the role of mitochondrial membrane structural organization. Biophys Rev. 2017 Aug;9(4):443-457. doi: 10.1007/s12551-017-0308-0. Epub 2017 Aug 19. PMID: 28823106; PMCID: PMC5578938.</t>
  </si>
  <si>
    <t xml:space="preserve">10.1007/s12551-017-0308-0</t>
  </si>
  <si>
    <t xml:space="preserve">28823106</t>
  </si>
  <si>
    <t xml:space="preserve">NPMT-I054</t>
  </si>
  <si>
    <t xml:space="preserve">NPMT-I055</t>
  </si>
  <si>
    <t xml:space="preserve">FOXO</t>
  </si>
  <si>
    <t xml:space="preserve">CAT</t>
  </si>
  <si>
    <t xml:space="preserve">Human articular chondrocytes</t>
  </si>
  <si>
    <t xml:space="preserve">Akasaki Y, Alvarez-Garcia O, Saito M, Caramés B, Iwamoto Y, Lotz MK. FoxO transcription factors support oxidative stress resistance in human chondrocytes. Arthritis Rheumatol. 2014;66(12):3349-3358. doi: 10.1002/art.38868. PMID: 25186470.</t>
  </si>
  <si>
    <t xml:space="preserve">10.1002/art.38868</t>
  </si>
  <si>
    <t xml:space="preserve">25186470</t>
  </si>
  <si>
    <t xml:space="preserve">Supported in chondrocytes — FOXO1 knockdown reduced catalase protein under oxidative challenge</t>
  </si>
  <si>
    <t xml:space="preserve">NPMT-I056</t>
  </si>
  <si>
    <t xml:space="preserve">IVD review</t>
  </si>
  <si>
    <t xml:space="preserve">Xiang, Q., Zhao, Y., Lin, J. et al. The Nrf2 antioxidant defense system in intervertebral disc degeneration: Molecular insights. Exp Mol Med 54, 1067–1075 (2022). https://doi.org/10.1038/s12276-022-00829-6</t>
  </si>
  <si>
    <t xml:space="preserve">10.1038/s12276-022-00829-6</t>
  </si>
  <si>
    <t xml:space="preserve">NPMT-I057</t>
  </si>
  <si>
    <t xml:space="preserve">CCL2</t>
  </si>
  <si>
    <t xml:space="preserve">Sutcliffe AM, Clarke DL, Bradbury DA, Corbett LM, Patel JA, Knox AJ. Transcriptional regulation of monocyte chemotactic protein-1 release by endothelin-1 in human airway smooth muscle cells involves NF-kappaB and AP-1. Br J Pharmacol. 2009 Jun;157(3):436-50. doi: 10.1111/j.1476-5381.2009.00143.x. Epub 2009 Apr 9. PMID: 19371341; PMCID: PMC2707990.</t>
  </si>
  <si>
    <t xml:space="preserve">10.1111/j.1476-5381.2009.00143.x</t>
  </si>
  <si>
    <t xml:space="preserve">19371341</t>
  </si>
  <si>
    <t xml:space="preserve">NPMT-I058</t>
  </si>
  <si>
    <t xml:space="preserve">Tian, S., Chen, X., Wu, W. et al. Nucleus pulposus cells regulate macrophages in degenerated intervertebral discs via the integrated stress response-mediated CCL2/7-CCR2 signaling pathway. Exp Mol Med 56, 408–421 (2024). https://doi.org/10.1038/s12276-024-01168-4</t>
  </si>
  <si>
    <t xml:space="preserve">10.1038/s12276-024-01168-4</t>
  </si>
  <si>
    <t xml:space="preserve">NPMT-I059</t>
  </si>
  <si>
    <t xml:space="preserve">CCN2</t>
  </si>
  <si>
    <t xml:space="preserve">NP, chondrocyte</t>
  </si>
  <si>
    <t xml:space="preserve">2D, in vitro, in vivo</t>
  </si>
  <si>
    <t xml:space="preserve">Oh, Cd., Yasuda, H., Zhao, W. et al. SOX9 directly Regulates CTGF/CCN2 Transcription in Growth Plate Chondrocytes and in Nucleus Pulposus Cells of Intervertebral Disc. Sci Rep 6, 29916 (2016). https://doi.org/10.1038/srep29916</t>
  </si>
  <si>
    <t xml:space="preserve">10.1038/srep29916</t>
  </si>
  <si>
    <t xml:space="preserve">NPMT-I060</t>
  </si>
  <si>
    <t xml:space="preserve">YAP/TAZ</t>
  </si>
  <si>
    <t xml:space="preserve">Rat</t>
  </si>
  <si>
    <t xml:space="preserve">Gao Y, Wei H, Peng X, Wang C, Zhu H, Yin J. ER stress-induced YAP upregulation leads to chondrocyte phenotype loss in age-related osteoarthritis. Front Pharmacol. 2024 Nov 12;15:1476255. doi: 10.3389/fphar.2024.1476255. PMID: 39600372; PMCID: PMC11588467.</t>
  </si>
  <si>
    <t xml:space="preserve">10.3389/fphar.2024.1476255</t>
  </si>
  <si>
    <t xml:space="preserve">39600372</t>
  </si>
  <si>
    <t xml:space="preserve">NPMT-I061</t>
  </si>
  <si>
    <t xml:space="preserve">β-catenin</t>
  </si>
  <si>
    <t xml:space="preserve">Hiyama, A., Morita, K., Sakai, D. et al. CCN family member 2/connective tissue growth factor (CCN2/CTGF) is regulated by Wnt–β-catenin signaling in nucleus pulposus cells. Arthritis Res Ther 20, 217 (2018). https://doi.org/10.1186/s13075-018-1723-8</t>
  </si>
  <si>
    <t xml:space="preserve">10.1186/s13075-018-1723-8</t>
  </si>
  <si>
    <t xml:space="preserve">NPMT-I062</t>
  </si>
  <si>
    <t xml:space="preserve">FAK-M</t>
  </si>
  <si>
    <t xml:space="preserve">CDC42</t>
  </si>
  <si>
    <t xml:space="preserve">Rho GTPases, cytoskeletal &amp; Hippo regulators</t>
  </si>
  <si>
    <t xml:space="preserve">Myers JP, Robles E, Ducharme-Smith A, Gomez TM. Focal adhesion kinase modulates Cdc42 activity downstream of positive and negative axon guidance cues. J Cell Sci. 2012 Jun 15;125(Pt 12):2918-29. doi: 10.1242/jcs.100107. Epub 2012 Mar 5. PMID: 22393238; PMCID: PMC3434813.</t>
  </si>
  <si>
    <t xml:space="preserve">10.1242/jcs.100107</t>
  </si>
  <si>
    <t xml:space="preserve">22393238</t>
  </si>
  <si>
    <t xml:space="preserve">NPMT-I063</t>
  </si>
  <si>
    <t xml:space="preserve">CITED2</t>
  </si>
  <si>
    <t xml:space="preserve">Agrawal A, Gajghate S, Smith H, Anderson DG, Albert TJ, Shapiro IM, Risbud MV. Cited2 modulates hypoxia-inducible factor-dependent expression of vascular endothelial growth factor in nucleus pulposus cells of the rat intervertebral disc. Arthritis Rheum. 2008 Dec;58(12):3798-808. doi: 10.1002/art.24073. PMID: 19035510.</t>
  </si>
  <si>
    <t xml:space="preserve">10.1002/art.24073</t>
  </si>
  <si>
    <t xml:space="preserve">19035510</t>
  </si>
  <si>
    <t xml:space="preserve">NPMT-I064</t>
  </si>
  <si>
    <t xml:space="preserve">COL10A1</t>
  </si>
  <si>
    <t xml:space="preserve">Saito T, Fukai A, Mabuchi A, Ikeda T, Yano F, Ohba S, Nishida N, Akune T, Yoshimura N, Nakagawa T, Nakamura K, Tokunaga K, Chung UI, Kawaguchi H. Transcriptional regulation of endochondral ossification by HIF-2alpha during skeletal growth and osteoarthritis development. Nat Med. 2010 Jun;16(6):678-86. doi: 10.1038/nm.2146. Epub 2010 May 23. PMID: 20495570.</t>
  </si>
  <si>
    <t xml:space="preserve">10.1038/nm.2146</t>
  </si>
  <si>
    <t xml:space="preserve">20495570</t>
  </si>
  <si>
    <t xml:space="preserve">NPMT-I065</t>
  </si>
  <si>
    <t xml:space="preserve">Zheng Q, Zhou G, Morello R, Chen Y, Garcia-Rojas X, Lee B. Type X collagen gene regulation by Runx2 contributes directly to its hypertrophic chondrocyte-specific expression in vivo. J Cell Biol. 2003 Sep 1;162(5):833-42. doi: 10.1083/jcb.200211089. PMID: 12952936; PMCID: PMC2172833.</t>
  </si>
  <si>
    <t xml:space="preserve">10.1083/jcb.200211089</t>
  </si>
  <si>
    <t xml:space="preserve">12952936</t>
  </si>
  <si>
    <t xml:space="preserve">NPMT-I066</t>
  </si>
  <si>
    <t xml:space="preserve">mice</t>
  </si>
  <si>
    <t xml:space="preserve">Leung VY, Gao B, Leung KK, Melhado IG, Wynn SL, Au TY, Dung NW, Lau JY, Mak AC, Chan D, Cheah KS. SOX9 governs differentiation stage-specific gene expression in growth plate chondrocytes via direct concomitant transactivation and repression. PLoS Genet. 2011 Nov;7(11):e1002356. doi: 10.1371/journal.pgen.1002356. Epub 2011 Nov 3. PMID: 22072985; PMCID: PMC3207907.</t>
  </si>
  <si>
    <t xml:space="preserve">10.1371/journal.pgen.1002356</t>
  </si>
  <si>
    <t xml:space="preserve">22072985</t>
  </si>
  <si>
    <t xml:space="preserve">NPMT-I067</t>
  </si>
  <si>
    <t xml:space="preserve">COL1A1</t>
  </si>
  <si>
    <t xml:space="preserve">rabbit</t>
  </si>
  <si>
    <t xml:space="preserve">Hwang SG, Yu SS, Poo H, Chun JS. c-Jun/activator protein-1 mediates interleukin-1beta-induced dedifferentiation but not cyclooxygenase-2 expression in articular chondrocytes. J Biol Chem. 2005 Aug 19;280(33):29780-7. doi: 10.1074/jbc.M411793200. Epub 2005 Jun 16. PMID: 15961395.</t>
  </si>
  <si>
    <t xml:space="preserve">10.1074/jbc.m411793200</t>
  </si>
  <si>
    <t xml:space="preserve">15961395</t>
  </si>
  <si>
    <t xml:space="preserve">NPMT-I068</t>
  </si>
  <si>
    <t xml:space="preserve">MRTF-A</t>
  </si>
  <si>
    <t xml:space="preserve">Kong M, Zhang Y, Song M, Cong W, Gao C, Zhang J, Han S, Tu Q, Ma X. Myocardin‑related transcription factor A nuclear translocation contributes to mechanical overload‑induced nucleus pulposus fibrosis in rats with intervertebral disc degeneration. Int J Mol Med. 2021 Jul;48(1):123. doi: 10.3892/ijmm.2021.4956. Epub 2021 May 13. PMID: 33982787; PMCID: PMC8121555.</t>
  </si>
  <si>
    <t xml:space="preserve">10.3892/ijmm.2021.4956</t>
  </si>
  <si>
    <t xml:space="preserve">33982787</t>
  </si>
  <si>
    <t xml:space="preserve">NPMT-I069</t>
  </si>
  <si>
    <t xml:space="preserve">Devos H, Zoidakis J, Roubelakis MG, Latosinska A, Vlahou A. Reviewing the Regulators of COL1A1. Int J Mol Sci. 2023 Jun 11;24(12):10004. doi: 10.3390/ijms241210004. PMID: 37373151; PMCID: PMC10298483.</t>
  </si>
  <si>
    <t xml:space="preserve">10.3390/ijms241210004</t>
  </si>
  <si>
    <t xml:space="preserve">37373151</t>
  </si>
  <si>
    <t xml:space="preserve">NPMT-I070</t>
  </si>
  <si>
    <t xml:space="preserve">Xu, T., Zhao, H., Fang, X. et al. Mulberroside A mitigates intervertebral disc degeneration by inhibiting MAPK and modulating Ppar-γ/NF-κB pathways. J Inflamm 21, 32 (2024). https://doi.org/10.1186/s12950-024-00398-7</t>
  </si>
  <si>
    <t xml:space="preserve">10.1186/s12950-024-00398-7</t>
  </si>
  <si>
    <t xml:space="preserve">NPMT-I071</t>
  </si>
  <si>
    <t xml:space="preserve">NPMT-I072</t>
  </si>
  <si>
    <t xml:space="preserve">COL2A1</t>
  </si>
  <si>
    <t xml:space="preserve">Supported in NP — HIF-1α overexpression increased type II collagen</t>
  </si>
  <si>
    <t xml:space="preserve">NPMT-I073</t>
  </si>
  <si>
    <t xml:space="preserve">NPMT-I074</t>
  </si>
  <si>
    <t xml:space="preserve">NP tissue</t>
  </si>
  <si>
    <t xml:space="preserve">ex vivo</t>
  </si>
  <si>
    <t xml:space="preserve">Ex vivo</t>
  </si>
  <si>
    <t xml:space="preserve">Tsingas M, Ottone OK, Haseeb A, Barve RA, Shapiro IM, Lefebvre V, Risbud MV. Sox9 deletion causes severe intervertebral disc degeneration characterized by apoptosis, matrix remodeling, and compartment-specific transcriptomic changes. Matrix Biol. 2020 Dec;94:110-133. doi: 10.1016/j.matbio.2020.09.003. Epub 2020 Oct 4. PMID: 33027692; PMCID: PMC7778523.</t>
  </si>
  <si>
    <t xml:space="preserve">10.1016/j.matbio.2020.09.003</t>
  </si>
  <si>
    <t xml:space="preserve">33027692</t>
  </si>
  <si>
    <t xml:space="preserve">NPMT-I075</t>
  </si>
  <si>
    <t xml:space="preserve">Lin W, Shi C, Wang W, Wu H, Yang C, Wang A, Shen X, Tian Y, Cao P, Yuan W. Osmolarity and calcium regulate connective tissue growth factor (CTGF/CCN2) expression in nucleus pulposus cells. Gene. 2019 Jul 1;704:15-24. doi: 10.1016/j.gene.2019.04.020. Epub 2019 Apr 6. PMID: 30965128.</t>
  </si>
  <si>
    <t xml:space="preserve">10.1016/j.gene.2019.04.020</t>
  </si>
  <si>
    <t xml:space="preserve">30965128</t>
  </si>
  <si>
    <t xml:space="preserve">NPMT-I076</t>
  </si>
  <si>
    <t xml:space="preserve">COX-2</t>
  </si>
  <si>
    <t xml:space="preserve">Li, Jk., Nie, L., Zhao, Yp. et al. IL-17 mediates inflammatory reactions via p38/c-Fos and JNK/c-Jun activation in an AP-1-dependent manner in human nucleus pulposus cells. J Transl Med 14, 77 (2016). https://doi.org/10.1186/s12967-016-0833-9</t>
  </si>
  <si>
    <t xml:space="preserve">NPMT-I077</t>
  </si>
  <si>
    <t xml:space="preserve">Zhao, W., Li, Y., Cheng, X., Wei, H., Li, P., Fan, L., ... &amp; Wang, H. (2023). The antioxidant Glycitin protects against intervertebral disc degeneration through antagonizing inflammation and oxidative stress in nucleus pulposus cells. Aging (Albany NY), 15(23), 13693.</t>
  </si>
  <si>
    <t xml:space="preserve">NPMT-I078</t>
  </si>
  <si>
    <t xml:space="preserve">NFAT</t>
  </si>
  <si>
    <t xml:space="preserve">Horsley V, Pavlath GK. NFAT: ubiquitous regulator of cell differentiation and adaptation. J Cell Biol. 2002 Mar 4;156(5):771-4. doi: 10.1083/jcb.200111073. Epub 2002 Mar 4. PMID: 11877454; PMCID: PMC2173310.</t>
  </si>
  <si>
    <t xml:space="preserve">10.1083/jcb.200111073</t>
  </si>
  <si>
    <t xml:space="preserve">11877454</t>
  </si>
  <si>
    <t xml:space="preserve">NPMT-I079</t>
  </si>
  <si>
    <t xml:space="preserve">Wheeler DG, Barrett CF, Groth RD, Safa P, Tsien RW. CaMKII locally encodes L-type channel activity to signal to nuclear CREB in excitation-transcription coupling. J Cell Biol. 2008 Dec 1;183(5):849-63. doi: 10.1083/jcb.200805048. PMID: 19047462; PMCID: PMC2592819.</t>
  </si>
  <si>
    <t xml:space="preserve">10.1083/jcb.200805048</t>
  </si>
  <si>
    <t xml:space="preserve">19047462</t>
  </si>
  <si>
    <t xml:space="preserve">NPMT-I080</t>
  </si>
  <si>
    <t xml:space="preserve">Tsirimonaki E, Fedonidis C, Pneumaticos SG, Tragas AA, Michalopoulos I, Mangoura D. PKCε signalling activation ERK1/2, and regulates aggrecan, ADAMTS5, and miR377 gene expression in human nucleus pulposus cells. PLoS One. 2013 Nov 28;8(11):e82045. doi: 10.1371/journal.pone.0082045. PMID: 24312401; PMCID: PMC3842981.</t>
  </si>
  <si>
    <t xml:space="preserve">10.1371/journal.pone.0082045</t>
  </si>
  <si>
    <t xml:space="preserve">24312401</t>
  </si>
  <si>
    <t xml:space="preserve">NPMT-I081</t>
  </si>
  <si>
    <t xml:space="preserve">ERK-M</t>
  </si>
  <si>
    <t xml:space="preserve">NPMT-I082</t>
  </si>
  <si>
    <t xml:space="preserve">RSK</t>
  </si>
  <si>
    <t xml:space="preserve">Ozgen N, Guo J, Gertsberg Z, Danilo P Jr, Rosen MR, Steinberg SF. Reactive oxygen species decrease cAMP response element binding protein expression in cardiomyocytes via a protein kinase D1-dependent mechanism that does not require Ser133 phosphorylation. Mol Pharmacol. 2009 Oct;76(4):896-902. doi: 10.1124/mol.109.056473. Epub 2009 Jul 20. PMID: 19620255; PMCID: PMC2769048.</t>
  </si>
  <si>
    <t xml:space="preserve">10.1124/mol.109.056473</t>
  </si>
  <si>
    <t xml:space="preserve">19620255</t>
  </si>
  <si>
    <t xml:space="preserve">NPMT-I083</t>
  </si>
  <si>
    <t xml:space="preserve">GSK3B</t>
  </si>
  <si>
    <t xml:space="preserve">Grimes CA, Jope RS. CREB DNA binding activity is inhibited by glycogen synthase kinase-3 beta and facilitated by lithium. J Neurochem. 2001 Sep;78(6):1219-32. doi: 10.1046/j.1471-4159.2001.00495.x. PMID: 11579131; PMCID: PMC1947002.</t>
  </si>
  <si>
    <t xml:space="preserve">10.1046/j.1471-4159.2001.00495.x</t>
  </si>
  <si>
    <t xml:space="preserve">11579131</t>
  </si>
  <si>
    <t xml:space="preserve">NPMT-I084</t>
  </si>
  <si>
    <t xml:space="preserve">CXCL1</t>
  </si>
  <si>
    <t xml:space="preserve">Qiao Y, He H, Jonsson P, Sinha I, Zhao C, Dahlman-Wright K. AP-1 Is a Key Regulator of Proinflammatory Cytokine TNFα-mediated Triple-negative Breast Cancer Progression. J Biol Chem. 2016 Mar 4;291(10):5068-79. doi: 10.1074/jbc.M115.702571. Epub 2016 Jan 20. Erratum in: J Biol Chem. 2016 Aug 26;291(35):18309. doi: 10.1074/jbc.A115.702571. PMID: 26792858; PMCID: PMC4777842.</t>
  </si>
  <si>
    <t xml:space="preserve">10.1074/jbc.m115.702571; 10.1074/jbc.a115.702571</t>
  </si>
  <si>
    <t xml:space="preserve">26792858</t>
  </si>
  <si>
    <t xml:space="preserve">No retraction notice (correction published)</t>
  </si>
  <si>
    <t xml:space="preserve">NPMT-I085</t>
  </si>
  <si>
    <t xml:space="preserve">NPMT-I086</t>
  </si>
  <si>
    <t xml:space="preserve">CXCL3</t>
  </si>
  <si>
    <t xml:space="preserve">NPMT-I087</t>
  </si>
  <si>
    <t xml:space="preserve">NPMT-I088</t>
  </si>
  <si>
    <t xml:space="preserve">PLCγ-M</t>
  </si>
  <si>
    <t xml:space="preserve">DAG</t>
  </si>
  <si>
    <t xml:space="preserve">Kim MJ, Kim E, Ryu SH, Suh PG. The mechanism of phospholipase C-gamma1 regulation. Exp Mol Med. 2000 Sep 30;32(3):101-9. doi: 10.1038/emm.2000.18. PMID: 11048639.</t>
  </si>
  <si>
    <t xml:space="preserve">10.1038/emm.2000.18</t>
  </si>
  <si>
    <t xml:space="preserve">11048639</t>
  </si>
  <si>
    <t xml:space="preserve">NPMT-I089</t>
  </si>
  <si>
    <t xml:space="preserve">DRP1</t>
  </si>
  <si>
    <t xml:space="preserve">Cereghetti GM, Stangherlin A, Martins de Brito O, Chang CR, Blackstone C, Bernardi P, Scorrano L. Dephosphorylation by calcineurin regulates translocation of Drp1 to mitochondria. Proc Natl Acad Sci U S A. 2008 Oct 14;105(41):15803-8. doi: 10.1073/pnas.0808249105. Epub 2008 Oct 6. PMID: 18838687; PMCID: PMC2572940.</t>
  </si>
  <si>
    <t xml:space="preserve">10.1073/pnas.0808249105</t>
  </si>
  <si>
    <t xml:space="preserve">18838687</t>
  </si>
  <si>
    <t xml:space="preserve">NPMT-I090</t>
  </si>
  <si>
    <t xml:space="preserve">Human/rat NP cells; oxidative-stress model</t>
  </si>
  <si>
    <t xml:space="preserve">In vitro / in vivo</t>
  </si>
  <si>
    <t xml:space="preserve">Su S, Wu X, Li B, et al. Inhibition of ERK1/2 mediated activation of Drp1 alleviates intervertebral disc degeneration via suppressing pyroptosis and apoptosis in nucleus pulposus cells. J Orthop Translat. 2025;51:163-175. doi: 10.1016/j.jot.2025.01.013. PMID: 40160807.</t>
  </si>
  <si>
    <t xml:space="preserve">10.1016/j.jot.2025.01.013</t>
  </si>
  <si>
    <t xml:space="preserve">40160807</t>
  </si>
  <si>
    <t xml:space="preserve">indirect / pathway-level — Indirect NP evidence: oxidative stress (TBHP) was associated with ERK1/2-dependent Drp1 activation; ROS itself was not established as the direct activator.</t>
  </si>
  <si>
    <t xml:space="preserve">NPMT-I091</t>
  </si>
  <si>
    <t xml:space="preserve">ELK1</t>
  </si>
  <si>
    <t xml:space="preserve">Tsai TT, Guttapalli A, Agrawal A, Albert TJ, Shapiro IM, Risbud MV. MEK/ERK signaling controls osmoregulation of nucleus pulposus cells of the intervertebral disc by transactivation of TonEBP/OREBP. J Bone Miner Res. 2007 Jul;22(7):965-74. doi: 10.1359/jbmr.070322. PMID: 17371162.</t>
  </si>
  <si>
    <t xml:space="preserve">10.1359/jbmr.070322</t>
  </si>
  <si>
    <t xml:space="preserve">17371162</t>
  </si>
  <si>
    <t xml:space="preserve">Tsai 2007 (marker: TonEBP)</t>
  </si>
  <si>
    <t xml:space="preserve">NPMT-I092</t>
  </si>
  <si>
    <t xml:space="preserve">MAP3K</t>
  </si>
  <si>
    <t xml:space="preserve">Other mammalian cells</t>
  </si>
  <si>
    <t xml:space="preserve">Cultured cells; ERK-to-ELK1 signalling</t>
  </si>
  <si>
    <t xml:space="preserve">Cruzalegui FH, Cano E, Treisman R. ERK activation induces phosphorylation of Elk-1 at multiple S/T-P motifs to high stoichiometry. Oncogene. 1999;18:7948-7957. doi: 10.1038/sj.onc.1203362. PMID: 10637505.</t>
  </si>
  <si>
    <t xml:space="preserve">10.1038/sj.onc.1203362</t>
  </si>
  <si>
    <t xml:space="preserve">10637505</t>
  </si>
  <si>
    <t xml:space="preserve">indirect / pathway-level — Pathway-level only: MAP3K activates downstream MAPK signalling which phosphorylates ELK1. Direct MAP3K-to-ELK1 action not shown.</t>
  </si>
  <si>
    <t xml:space="preserve">NPMT-I093</t>
  </si>
  <si>
    <t xml:space="preserve">MEK-E</t>
  </si>
  <si>
    <t xml:space="preserve">Risbud MV, Fertala J, Vresilovic EJ, Albert TJ, Shapiro IM. Nucleus pulposus cells upregulate PI3K/Akt and MEK/ERK signaling pathways under hypoxic conditions and resist apoptosis induced by serum withdrawal. Spine (Phila Pa 1976). 2005 Apr 15;30(8):882-9. doi: 10.1097/01.brs.0000159096.11248.6d. PMID: 15834331.</t>
  </si>
  <si>
    <t xml:space="preserve">10.1097/01.brs.0000159096.11248.6d</t>
  </si>
  <si>
    <t xml:space="preserve">15834331</t>
  </si>
  <si>
    <t xml:space="preserve">NPMT-I094</t>
  </si>
  <si>
    <t xml:space="preserve">MEK-M</t>
  </si>
  <si>
    <t xml:space="preserve">NPMT-I095</t>
  </si>
  <si>
    <t xml:space="preserve">SDC4-E</t>
  </si>
  <si>
    <t xml:space="preserve">FAK-E</t>
  </si>
  <si>
    <t xml:space="preserve">Wilcox-Adelman SA, Denhez F, Goetinck PF. Syndecan-4 modulates focal adhesion kinase phosphorylation. J Biol Chem. 2002 Sep 6;277(36):32970-7. doi: 10.1074/jbc.M201283200. Epub 2002 Jun 26. PMID: 12087088.</t>
  </si>
  <si>
    <t xml:space="preserve">10.1074/jbc.m201283200</t>
  </si>
  <si>
    <t xml:space="preserve">12087088</t>
  </si>
  <si>
    <t xml:space="preserve">NPMT-I096</t>
  </si>
  <si>
    <t xml:space="preserve">α5β1-Fs</t>
  </si>
  <si>
    <t xml:space="preserve">Missirlis, D., Haraszti, T., Scheele, C. et al. Substrate engagement of integrins α5β1 and αvβ3 is necessary, but not sufficient, for high directional persistence in migration on fibronectin. Sci Rep 6, 23258 (2016). https://doi.org/10.1038/srep23258</t>
  </si>
  <si>
    <t xml:space="preserve">10.1038/srep23258</t>
  </si>
  <si>
    <t xml:space="preserve">NPMT-I097</t>
  </si>
  <si>
    <t xml:space="preserve">αVβ3</t>
  </si>
  <si>
    <t xml:space="preserve">OA review</t>
  </si>
  <si>
    <t xml:space="preserve">Song F, Mao X, Dai J, Shan B, Zhou Z, Kang Y. Integrin αVβ3 Signaling in the Progression of Osteoarthritis Induced by Excessive Mechanical Stress. Inflammation. 2023 Apr;46(2):739-751. doi: 10.1007/s10753-022-01770-6. Epub 2022 Dec 8. PMID: 36480128; PMCID: PMC10024670.</t>
  </si>
  <si>
    <t xml:space="preserve">10.1007/s10753-022-01770-6</t>
  </si>
  <si>
    <t xml:space="preserve">36480128</t>
  </si>
  <si>
    <t xml:space="preserve">NPMT-I098</t>
  </si>
  <si>
    <t xml:space="preserve">SDC4-M</t>
  </si>
  <si>
    <t xml:space="preserve">NPMT-I099</t>
  </si>
  <si>
    <t xml:space="preserve">α5β1-FN</t>
  </si>
  <si>
    <t xml:space="preserve">NPMT-I100</t>
  </si>
  <si>
    <t xml:space="preserve">αVβ6</t>
  </si>
  <si>
    <t xml:space="preserve">Lee C, Lee C, Lee S, Siu A, Ramos DM. The cytoplasmic extension of the integrin β6 subunit regulates epithelial-to-mesenchymal transition. Anticancer Res. 2014 Feb;34(2):659-64. PMID: 24510996.</t>
  </si>
  <si>
    <t xml:space="preserve">24510996</t>
  </si>
  <si>
    <t xml:space="preserve">NPMT-I101</t>
  </si>
  <si>
    <t xml:space="preserve">FGF18</t>
  </si>
  <si>
    <t xml:space="preserve">osteosarcoma</t>
  </si>
  <si>
    <t xml:space="preserve">Hinoi E, Bialek P, Chen YT, Rached MT, Groner Y, Behringer RR, Ornitz DM, Karsenty G. Runx2 inhibition chondrocyte proliferation and hypertrophy through its expression in the perichondrium. Genes Dev. 2006 Nov 1;20(21):2937-42. doi: 10.1101/gad.1482906. Epub 2006 Oct 18. PMID: 17050674; PMCID: PMC1620024.</t>
  </si>
  <si>
    <t xml:space="preserve">10.1101/gad.1482906</t>
  </si>
  <si>
    <t xml:space="preserve">17050674</t>
  </si>
  <si>
    <t xml:space="preserve">NPMT-I102</t>
  </si>
  <si>
    <t xml:space="preserve">Elluru RG, Thompson F, Reece A. Fibroblast growth factor 18 gives growth and directional cues to airway cartilage. Laryngoscope. 2009 Jun;119(6):1153-65. doi: 10.1002/lary.20157. PMID: 19358209; PMCID: PMC2693282.</t>
  </si>
  <si>
    <t xml:space="preserve">10.1002/lary.20157</t>
  </si>
  <si>
    <t xml:space="preserve">19358209</t>
  </si>
  <si>
    <t xml:space="preserve">NPMT-I103</t>
  </si>
  <si>
    <t xml:space="preserve">Reinhold MI, Naski MC. Direct interactions of Runx2 and canonical Wnt signaling induce FGF18. J Biol Chem. 2007 Feb 9;282(6):3653-63. doi: 10.1074/jbc.M608995200. Epub 2006 Dec 11. PMID: 17158875.</t>
  </si>
  <si>
    <t xml:space="preserve">10.1074/jbc.m608995200</t>
  </si>
  <si>
    <t xml:space="preserve">17158875</t>
  </si>
  <si>
    <t xml:space="preserve">NPMT-I104</t>
  </si>
  <si>
    <t xml:space="preserve">Jiang P, Dou X, Li S, Jia Q, Ling P, Liu H, Han Q, Sun S. miR-590-5p affects chondrocyte proliferation, apoptosis, and inflammation by targeting FGF18 in osteoarthritis. Am J Transl Res. 2021 Aug 15;13(8):8728-8741. PMID: 34539990; PMCID: PMC8430182.</t>
  </si>
  <si>
    <t xml:space="preserve">34539990</t>
  </si>
  <si>
    <t xml:space="preserve">NPMT-I105</t>
  </si>
  <si>
    <t xml:space="preserve">FGF2</t>
  </si>
  <si>
    <t xml:space="preserve">Galoforo, S.S., Berns, C.M., Erdos, G. et al. Hypoglycemia-induced AP-1 transcription factor and basic fibroblast growth factor gene expression in multidrug resistant human breast carcinoma MCF-7/ADR cells. Mol Cell Biochem 155, 163–171 (1996). https://doi.org/10.1007/BF00229313</t>
  </si>
  <si>
    <t xml:space="preserve">10.1007/bf00229313</t>
  </si>
  <si>
    <t xml:space="preserve">NPMT-I106</t>
  </si>
  <si>
    <t xml:space="preserve">endothelial</t>
  </si>
  <si>
    <t xml:space="preserve">Calvani M, Rapisarda A, Uranchimeg B, Shoemaker RH, Melillo G. Hypoxic induction of an HIF-1alpha-dependent bFGF autocrine loop drives angiogenesis in human endothelial cells. Blood. 2006 Apr 1;107(7):2705-12. doi: 10.1182/blood-2005-09-3541. Epub 2005 Nov 22. PMID: 16304044; PMCID: PMC1895390.</t>
  </si>
  <si>
    <t xml:space="preserve">10.1182/blood-2005-09-3541</t>
  </si>
  <si>
    <t xml:space="preserve">16304044</t>
  </si>
  <si>
    <t xml:space="preserve">NPMT-I107</t>
  </si>
  <si>
    <t xml:space="preserve">Chien SY, Huang CY, Tsai CH, Wang SW, Lin YM, Tang CH. Interleukin-1β induces fibroblast growth factor 2 expression and subsequently promotes endothelial progenitor cell angiogenesis in chondrocytes. Clin Sci (Lond). 2016 May;130(9):667-81. doi: 10.1042/CS20150622. Epub 2016 Jan 25. PMID: 26811540; PMCID: PMC4797417.</t>
  </si>
  <si>
    <t xml:space="preserve">10.1042/cs20150622</t>
  </si>
  <si>
    <t xml:space="preserve">26811540</t>
  </si>
  <si>
    <t xml:space="preserve">NPMT-I108</t>
  </si>
  <si>
    <t xml:space="preserve">Liu Y, Qu Y, Liu L, Zhao H, Ma H, Si M, Cheng L, Nie L. PPAR-γ agonist pioglitazone protects against IL-17 induced intervertebral disc inflammation and degeneration via suppression of NF-κB signaling pathway. Int Immunopharmacol. 2019 Jul;72:138-147. doi: 10.1016/j.intimp.2019.04.012. Epub 2019 Apr 10. PMID: 30981079.</t>
  </si>
  <si>
    <t xml:space="preserve">10.1016/j.intimp.2019.04.012</t>
  </si>
  <si>
    <t xml:space="preserve">30981079</t>
  </si>
  <si>
    <t xml:space="preserve">NPMT-I109</t>
  </si>
  <si>
    <t xml:space="preserve">Zhao X, Petursson F, Viollet B, Lotz M, Terkeltaub R, Liu-Bryan R. Peroxisome proliferator-activated receptor γ coactivator 1α and FoxO3A mediate chondroprotection by AMP-activated protein kinase. Arthritis Rheumatol. 2014 Nov;66(11):3073-82. doi: 10.1002/art.38791. PMID: 25047750; PMCID: PMC4343036.</t>
  </si>
  <si>
    <t xml:space="preserve">10.1002/art.38791</t>
  </si>
  <si>
    <t xml:space="preserve">25047750</t>
  </si>
  <si>
    <t xml:space="preserve">NPMT-I110</t>
  </si>
  <si>
    <t xml:space="preserve">Kawamori D, Kaneto H, Nakatani Y, Matsuoka TA, Matsuhisa M, Hori M, Yamasaki Y. The forkhead transcription factor Foxo1 bridges the JNK pathway and the transcription factor PDX-1 through its intracellular translocation. J Biol Chem. 2006 Jan 13;281(2):1091-8. doi: 10.1074/jbc.M508510200. Epub 2005 Nov 9. PMID: 16282329.</t>
  </si>
  <si>
    <t xml:space="preserve">10.1074/jbc.m508510200</t>
  </si>
  <si>
    <t xml:space="preserve">16282329</t>
  </si>
  <si>
    <t xml:space="preserve">NPMT-I111</t>
  </si>
  <si>
    <t xml:space="preserve">MST1/2</t>
  </si>
  <si>
    <t xml:space="preserve">Lehtinen MK, Yuan Z, Boag PR, Yang Y, Villén J, Becker EB, DiBacco S, de la Iglesia N, Gygi S, Blackwell TK, Bonni A. A conserved MST-FOXO signaling pathway mediates oxidative-stress responses and extends life span. Cell. 2006 Jun 2;125(5):987-1001. doi: 10.1016/j.cell.2006.03.046. PMID: 16751106.</t>
  </si>
  <si>
    <t xml:space="preserve">10.1016/j.cell.2006.03.046</t>
  </si>
  <si>
    <t xml:space="preserve">16751106</t>
  </si>
  <si>
    <t xml:space="preserve">NPMT-I112</t>
  </si>
  <si>
    <t xml:space="preserve">Ho KK, McGuire VA, Koo CY, Muir KW, de Olano N, Maifoshie E, Kelly DJ, McGovern UB, Monteiro LJ, Gomes AR, Nebreda AR, Campbell DG, Arthur JS, Lam EW. Phosphorylation of FOXO3a on Ser-7 by p38 promotes its nuclear localization in response to doxorubicin. J Biol Chem. 2012 Jan 6;287(2):1545-55. doi: 10.1074/jbc.M111.284224. Epub 2011 Nov 29. PMID: 22128155; PMCID: PMC3256863.</t>
  </si>
  <si>
    <t xml:space="preserve">10.1074/jbc.m111.284224</t>
  </si>
  <si>
    <t xml:space="preserve">22128155</t>
  </si>
  <si>
    <t xml:space="preserve">NPMT-I113</t>
  </si>
  <si>
    <t xml:space="preserve">Akasaki, Y., Hasegawa, A., Saito, M., Asahara, H., Iwamoto, Y., &amp; Lotz, M. K. (2014). Dysregulated FOXO transcription factors in articular cartilage in aging and osteoarthritis. Osteoarthritis and cartilage, 22(1), 162-170.</t>
  </si>
  <si>
    <t xml:space="preserve">NPMT-I114</t>
  </si>
  <si>
    <t xml:space="preserve">Yang JY, Zong CS, Xia W, Yamaguchi H, Ding Q, Xie X, Lang JY, Lai CC, Chang CJ, Huang WC, Huang H, Kuo HP, Lee DF, Li LY, Lien HC, Cheng X, Chang KJ, Hsiao CD, Tsai FJ, Tsai CH, Sahin AA, Muller WJ, Mills GB, Yu D, Hortobagyi GN, Hung MC. ERK promotes tumorigenesis by inhibiting FOXO3a via MDM2-mediated degradation. Nat Cell Biol. 2008 Feb;10(2):138-48. doi: 10.1038/ncb1676. Epub 2008 Jan 20. Erratum in: Nat Cell Biol. 2008 Mar;10(3):370. PMID: 18204439; PMCID: PMC2376808.</t>
  </si>
  <si>
    <t xml:space="preserve">10.1038/ncb1676</t>
  </si>
  <si>
    <t xml:space="preserve">18204439</t>
  </si>
  <si>
    <t xml:space="preserve">NPMT-I115</t>
  </si>
  <si>
    <t xml:space="preserve">GADD45</t>
  </si>
  <si>
    <t xml:space="preserve">Tran H, Brunet A, Grenier JM, Datta SR, Fornace AJ Jr, DiStefano PS, Chiang LW, Greenberg ME. DNA repair pathway stimulated by the forkhead transcription factor FOXO3a through the Gadd45 protein. Science. 2002 Apr 19;296(5567):530-4. doi: 10.1126/science.1068712. PMID: 11964479.</t>
  </si>
  <si>
    <t xml:space="preserve">10.1126/science.1068712</t>
  </si>
  <si>
    <t xml:space="preserve">11964479</t>
  </si>
  <si>
    <t xml:space="preserve">NPMT-I116</t>
  </si>
  <si>
    <t xml:space="preserve">Ijiri K, Zerbini LF, Peng H, Otu HH, Tsuchimochi K, Otero M, Dragomir C, Walsh N, Bierbaum BE, Mattingly D, van Flandern G, Komiya S, Aigner T, Libermann TA, Goldring MB. Differential expression of GADD45beta in normal and osteoarthritic cartilage: potential role in homeostasis of articular chondrocytes. Arthritis Rheum. 2008 Jul;58(7):2075-87. doi: 10.1002/art.23504. PMID: 18576389; PMCID: PMC3950332.</t>
  </si>
  <si>
    <t xml:space="preserve">10.1002/art.23504</t>
  </si>
  <si>
    <t xml:space="preserve">18576389</t>
  </si>
  <si>
    <t xml:space="preserve">NPMT-I117</t>
  </si>
  <si>
    <t xml:space="preserve">SOX5</t>
  </si>
  <si>
    <t xml:space="preserve">GDF5</t>
  </si>
  <si>
    <t xml:space="preserve">Dy P, Smits P, Silvester A, Penzo-Méndez A, Dumitriu B, Han Y, de la Motte CA, Kingsley DM, Lefebvre V. Synovial joint morphogenesis requires the chondrogenic action of Sox5 and Sox6 in growth plate and articular cartilage. Dev Biol. 2010 May 15;341(2):346-59. doi: 10.1016/j.ydbio.2010.02.024. Epub 2010 Mar 4. PMID: 20206616; PMCID: PMC2862098.</t>
  </si>
  <si>
    <t xml:space="preserve">10.1016/j.ydbio.2010.02.024</t>
  </si>
  <si>
    <t xml:space="preserve">20206616</t>
  </si>
  <si>
    <t xml:space="preserve">NPMT-I118</t>
  </si>
  <si>
    <t xml:space="preserve">SOX6</t>
  </si>
  <si>
    <t xml:space="preserve">NPMT-I119</t>
  </si>
  <si>
    <t xml:space="preserve">Guo X, Day TF, Jiang X, Garrett-Beal L, Topol L, Yang Y. Wnt/beta-catenin signaling is sufficient and necessary for synovial joint formation. Genes Dev. 2004 Oct 1;18(19):2404-17. doi: 10.1101/gad.1230704. Epub 2004 Sep 15. PMID: 15371327; PMCID: PMC522990.</t>
  </si>
  <si>
    <t xml:space="preserve">10.1101/gad.1230704</t>
  </si>
  <si>
    <t xml:space="preserve">15371327</t>
  </si>
  <si>
    <t xml:space="preserve">NPMT-I120</t>
  </si>
  <si>
    <t xml:space="preserve">Weng PW, Yadav VK, Pikatan NW, Fong IH, Lin IH, Yeh CT, Lee WH. Novel NFκB Inhibitor SC75741 Mitigates Chondrocyte Degradation and Prevents Activated Fibroblast Transformation by Modulating miR-21/GDF-5/SOX5 Signaling. Int J Mol Sci. 2021 Oct 14;22(20):11082. doi: 10.3390/ijms222011082. PMID: 34681754; PMCID: PMC8538686.</t>
  </si>
  <si>
    <t xml:space="preserve">10.3390/ijms222011082</t>
  </si>
  <si>
    <t xml:space="preserve">34681754</t>
  </si>
  <si>
    <t xml:space="preserve">NPMT-I121</t>
  </si>
  <si>
    <t xml:space="preserve">GPX1</t>
  </si>
  <si>
    <t xml:space="preserve">Akasaki Y, Alvarez-Garcia O, Saito M, Caramés B, Iwamoto Y, Lotz MK. FoxO transcription factors support oxidative stress resistance in human chondrocytes. Arthritis Rheumatol. 2014 Dec;66(12):3349-58. doi: 10.1002/art.38868. PMID: 25186470; PMCID: PMC4254812.</t>
  </si>
  <si>
    <t xml:space="preserve">NPMT-I122</t>
  </si>
  <si>
    <t xml:space="preserve">NPMT-I123</t>
  </si>
  <si>
    <t xml:space="preserve">Ciotti, S., Iuliano, L., Cefalù, S. et al. GSK3β is a key regulator of the ROS-dependent necrotic death induced by the quinone DMNQ. Cell Death Dis 11, 2 (2020). https://doi.org/10.1038/s41419-019-2202-0</t>
  </si>
  <si>
    <t xml:space="preserve">10.1038/s41419-019-2202-0</t>
  </si>
  <si>
    <t xml:space="preserve">NPMT-I124</t>
  </si>
  <si>
    <t xml:space="preserve">human/bovine</t>
  </si>
  <si>
    <t xml:space="preserve">Litherland, G. J., Hui, W., Elias, M. S., Wilkinson, D. J., Watson, S., Huesa, C., ... &amp; Rowan, A. D. (2014). Glycogen synthase kinase 3 inhibition stimulates human cartilage destruction and exacerbates murine osteoarthritis. Arthritis &amp; Rheumatology, 66(8), 2175-2187.</t>
  </si>
  <si>
    <t xml:space="preserve">NPMT-I125</t>
  </si>
  <si>
    <t xml:space="preserve">Gelse K, Mühle C, Knaup K, Swoboda B, Wiesener M, Hennig F, Olk A, Schneider H. Chondrogenic differentiation of growth factor-stimulated precursor cells in cartilage repair tissue is associated with increased HIF-1alpha activity. Osteoarthritis Cartilage. 2008 Dec;16(12):1457-65. doi: 10.1016/j.joca.2008.04.006. Epub 2008 Jun 3. PMID: 18524637.</t>
  </si>
  <si>
    <t xml:space="preserve">10.1016/j.joca.2008.04.006</t>
  </si>
  <si>
    <t xml:space="preserve">18524637</t>
  </si>
  <si>
    <t xml:space="preserve">NPMT-I126</t>
  </si>
  <si>
    <t xml:space="preserve">Zhang D, Li J, Zhang M, Gao G, Zuo Z, Yu Y, Zhu L, Gao J, Huang C. The requirement of c-Jun N-terminal kinase 2 in regulation of hypoxia-inducing factor-1α mRNA stability. J Biol Chem. 2012 Oct 5;287(41):34361-71. doi: 10.1074/jbc.M112.365882. Epub 2012 Aug 21. PMID: 22910906; PMCID: PMC3464542.</t>
  </si>
  <si>
    <t xml:space="preserve">10.1074/jbc.m112.365882</t>
  </si>
  <si>
    <t xml:space="preserve">22910906</t>
  </si>
  <si>
    <t xml:space="preserve">NPMT-I127</t>
  </si>
  <si>
    <t xml:space="preserve">Dodd KM, Yang J, Shen MH, Sampson JR, Tee AR. mTORC1 drives HIF-1α and VEGF-A signalling via multiple mechanisms involving 4E-BP1, S6K1 and STAT3. Oncogene. 2015 Apr 23;34(17):2239-50. doi: 10.1038/onc.2014.164. Epub 2014 Jun 16. PMID: 24931163; PMCID: PMC4172452.</t>
  </si>
  <si>
    <t xml:space="preserve">10.1038/onc.2014.164</t>
  </si>
  <si>
    <t xml:space="preserve">24931163</t>
  </si>
  <si>
    <t xml:space="preserve">NPMT-I128</t>
  </si>
  <si>
    <t xml:space="preserve">Human OA articular chondrocytes</t>
  </si>
  <si>
    <t xml:space="preserve">Yudoh K, Nakamura H, Masuko-Hongo K, Kato T, Nishioka K. Catabolic stress induces expression of hypoxia-inducible factor (HIF)-1 alpha in articular chondrocytes: involvement of HIF-1 alpha in the pathogenesis of osteoarthritis. Arthritis Res Ther. 2005;7(4):R904-R914. doi: 10.1186/ar1765. PMID: 15987493.</t>
  </si>
  <si>
    <t xml:space="preserve">10.1186/ar1765</t>
  </si>
  <si>
    <t xml:space="preserve">15987493</t>
  </si>
  <si>
    <t xml:space="preserve">Supported in chondrocytes — p38 inhibition reduces stress-induced HIF-1α expression</t>
  </si>
  <si>
    <t xml:space="preserve">NPMT-I129</t>
  </si>
  <si>
    <t xml:space="preserve">Flügel D, Görlach A, Michiels C, Kietzmann T. Glycogen synthase kinase 3 phosphorylates hypoxia-inducible factor 1alpha and mediates its destabilization in a VHL-independent manner. Mol Cell Biol. 2007 May;27(9):3253-65. doi: 10.1128/MCB.00015-07. Epub 2007 Feb 26. PMID: 17325032; PMCID: PMC1899978.</t>
  </si>
  <si>
    <t xml:space="preserve">10.1128/mcb.00015-07</t>
  </si>
  <si>
    <t xml:space="preserve">17325032</t>
  </si>
  <si>
    <t xml:space="preserve">NPMT-I130</t>
  </si>
  <si>
    <t xml:space="preserve">Mice</t>
  </si>
  <si>
    <t xml:space="preserve">Wang P, Ye Y, Yuan W, Tan Y, Zhang S, Meng Q. Curcumin exerts a protective effect on murine knee chondrocytes treated with IL-1β through blocking the NF-κB/HIF-2α signaling pathway. Ann Transl Med. 2021 Jun;9(11):940. doi: 10.21037/atm-21-2701. PMID: 34350255; PMCID: PMC8263872.</t>
  </si>
  <si>
    <t xml:space="preserve">10.21037/atm-21-2701</t>
  </si>
  <si>
    <t xml:space="preserve">34350255</t>
  </si>
  <si>
    <t xml:space="preserve">NPMT-I131</t>
  </si>
  <si>
    <t xml:space="preserve">Riegger J, Schoppa A, Ruths L, Haffner-Luntzer M, Ignatius A. Oxidative stress as a key modulator of cell fate decision in osteoarthritis and osteoporosis: a narrative review. Cell Mol Biol Lett. 2023 Sep 30;28(1):76. doi: 10.1186/s11658-023-00489-y. PMID: 37777764; PMCID: PMC10541721.</t>
  </si>
  <si>
    <t xml:space="preserve">10.1186/s11658-023-00489-y</t>
  </si>
  <si>
    <t xml:space="preserve">37777764</t>
  </si>
  <si>
    <t xml:space="preserve">NPMT-I132</t>
  </si>
  <si>
    <t xml:space="preserve">VHL</t>
  </si>
  <si>
    <t xml:space="preserve">Mouse articular chondrocytes</t>
  </si>
  <si>
    <t xml:space="preserve">In vivo and in vitro</t>
  </si>
  <si>
    <t xml:space="preserve">Weng T, Xie Y, Yi L, Huang J, Luo F, Du X, Chen L, Liu C, Chen D, Chen L. Loss of Vhl in cartilage accelerated the progression of age-associated and surgically induced murine osteoarthritis. Osteoarthritis Cartilage. 2014;22(8):1197-1205. doi: 10.1016/j.joca.2014.06.031. PMCID: PMC4150692.</t>
  </si>
  <si>
    <t xml:space="preserve">10.1016/j.joca.2014.06.031</t>
  </si>
  <si>
    <t xml:space="preserve">Supported in chondrocytes — Vhl deletion increases HIF-2α protein</t>
  </si>
  <si>
    <t xml:space="preserve">NPMT-I133</t>
  </si>
  <si>
    <t xml:space="preserve">HO-1</t>
  </si>
  <si>
    <t xml:space="preserve">Lee PJ, Jiang BH, Chin BY, Iyer NV, Alam J, Semenza GL, Choi AM. Hypoxia-inducible factor-1 mediates transcriptional activation of the heme oxygenase-1 gene in response to hypoxia. J Biol Chem. 1997 Feb 28;272(9):5375-81. PMID: 9038135.</t>
  </si>
  <si>
    <t xml:space="preserve">9038135</t>
  </si>
  <si>
    <t xml:space="preserve">NPMT-I134</t>
  </si>
  <si>
    <t xml:space="preserve">Zhang P, Jin Y, Xia W, Wang X, Zhou Z. Phillygenin inhibition inflammation in chondrocytes via the Nrf2/NF-κB axis and ameliorates osteoarthritis in mice. J Orthop Translat. 2023 May 4;41:1-11. doi: 10.1016/j.jot.2023.03.002. PMID: 37197096; PMCID: PMC10184049.</t>
  </si>
  <si>
    <t xml:space="preserve">10.1016/j.jot.2023.03.002</t>
  </si>
  <si>
    <t xml:space="preserve">37197096</t>
  </si>
  <si>
    <t xml:space="preserve">NPMT-I135</t>
  </si>
  <si>
    <t xml:space="preserve">HSF1</t>
  </si>
  <si>
    <t xml:space="preserve">Chou SD, Prince T, Gong J, Calderwood SK. mTOR is essential for the proteotoxic stress response, HSF1 activation and heat shock protein synthesis. PLoS One. 2012;7(6):e39679. doi: 10.1371/journal.pone.0039679. Epub 2012 Jun 29. PMID: 22768106; PMCID: PMC3387249.</t>
  </si>
  <si>
    <t xml:space="preserve">10.1371/journal.pone.0039679</t>
  </si>
  <si>
    <t xml:space="preserve">22768106</t>
  </si>
  <si>
    <t xml:space="preserve">NPMT-I136</t>
  </si>
  <si>
    <t xml:space="preserve">SIRT1</t>
  </si>
  <si>
    <t xml:space="preserve">Westerheide SD, Anckar J, Stevens SM Jr, Sistonen L, Morimoto RI. Stress-inducible regulation of heat shock factor 1 by the deacetylase SIRT1. Science. 2009 Feb 20;323(5917):1063-6. doi: 10.1126/science.1165946. Erratum in: Science. 2013 Nov 22;342(6161):931. PMID: 19229036; PMCID: PMC3429349.</t>
  </si>
  <si>
    <t xml:space="preserve">10.1126/science.1165946</t>
  </si>
  <si>
    <t xml:space="preserve">19229036</t>
  </si>
  <si>
    <t xml:space="preserve">NPMT-I137</t>
  </si>
  <si>
    <t xml:space="preserve">Dai S, Tang Z, Cao J, Zhou W, Li H, Sampson S, Dai C. Suppression of the HSF1-mediated proteotoxic stress response by the metabolic stress sensor AMPK. EMBO J. 2015 Feb 3;34(3):275-93. doi: 10.15252/embj.201489062. Epub 2014 Nov 25. PMID: 25425574; PMCID: PMC4339117.</t>
  </si>
  <si>
    <t xml:space="preserve">10.15252/embj.201489062</t>
  </si>
  <si>
    <t xml:space="preserve">25425574</t>
  </si>
  <si>
    <t xml:space="preserve">NPMT-I138</t>
  </si>
  <si>
    <t xml:space="preserve">Park J, Liu AY. JNK phosphorylates the HSF1 transcriptional activation domain: role of JNK in the regulation of the heat shock response. J Cell Biochem. 2001;82(2):326-38. doi: 10.1002/jcb.1163. PMID: 11527157.</t>
  </si>
  <si>
    <t xml:space="preserve">10.1002/jcb.1163</t>
  </si>
  <si>
    <t xml:space="preserve">11527157</t>
  </si>
  <si>
    <t xml:space="preserve">NPMT-I139</t>
  </si>
  <si>
    <t xml:space="preserve">HSP27</t>
  </si>
  <si>
    <t xml:space="preserve">Dierick I, Irobi J, Janssens S, Theuns J, Lemmens R, Jacobs A, Corsmit E, Hersmus N, Van Den Bosch L, Robberecht W, De Jonghe P, Van Broeckhoven C, Timmerman V. Genetic variant in the HSPB1 promoter region impairs the HSP27 stress response. Hum Mutat. 2007 Aug;28(8):830. doi: 10.1002/humu.9503. PMID: 17623484.</t>
  </si>
  <si>
    <t xml:space="preserve">10.1002/humu.9503</t>
  </si>
  <si>
    <t xml:space="preserve">17623484</t>
  </si>
  <si>
    <t xml:space="preserve">NPMT-I140</t>
  </si>
  <si>
    <t xml:space="preserve">HSP70</t>
  </si>
  <si>
    <t xml:space="preserve">Cotto JJ, Kline M, Morimoto RI. Activation of heat shock factor 1 DNA binding precedes stress-induced serine phosphorylation. Evidence for a multistep pathway of regulation. J Biol Chem. 1996 Feb 16;271(7):3355-8. doi: 10.1074/jbc.271.7.3355. PMID: 8631933.</t>
  </si>
  <si>
    <t xml:space="preserve">10.1074/jbc.271.7.3355</t>
  </si>
  <si>
    <t xml:space="preserve">8631933</t>
  </si>
  <si>
    <t xml:space="preserve">NPMT-I141</t>
  </si>
  <si>
    <t xml:space="preserve">NP, cartilage tissues</t>
  </si>
  <si>
    <t xml:space="preserve">Tessier S, Doolittle AC, Sao K, Rotty JD, Bear JE, Ulici V, Loeser RF, Shapiro IM, Diekman BO, Risbud MV. Arp2/3 inactivation causes intervertebral disc and cartilage degeneration with dysregulated TonEBP-mediated osmoadaptation. JCI Insight. 2020 Feb 27;5(4):e131382. doi: 10.1172/jci.insight.131382. PMID: 31961823; PMCID: PMC7101139.</t>
  </si>
  <si>
    <t xml:space="preserve">10.1172/jci.insight.131382</t>
  </si>
  <si>
    <t xml:space="preserve">31961823</t>
  </si>
  <si>
    <t xml:space="preserve">NPMT-I142</t>
  </si>
  <si>
    <t xml:space="preserve">IGF1</t>
  </si>
  <si>
    <t xml:space="preserve">Shi S, Wang C, Acton AJ, Eckert GJ, Trippel SB. Role of sox9 in growth factor regulation of articular chondrocytes. J Cell Biochem. 2015 Jul;116(7):1391-400. doi: 10.1002/jcb.25099. PMID: 25708223; PMCID: PMC5210171.</t>
  </si>
  <si>
    <t xml:space="preserve">10.1002/jcb.25099</t>
  </si>
  <si>
    <t xml:space="preserve">25708223</t>
  </si>
  <si>
    <t xml:space="preserve">NPMT-I143</t>
  </si>
  <si>
    <t xml:space="preserve">Hypo</t>
  </si>
  <si>
    <t xml:space="preserve">IKK</t>
  </si>
  <si>
    <t xml:space="preserve">U2OS/HeLa cultured cells</t>
  </si>
  <si>
    <t xml:space="preserve">Culver C, Sundqvist A, Mudie S, Melvin A, Xirodimas D, Rocha S. Mechanism of hypoxia-induced NF-kappaB. Mol Cell Biol. 2010;30(20):4901-4921. doi: 10.1128/MCB.00409-10. PMID: 20696840.</t>
  </si>
  <si>
    <t xml:space="preserve">10.1128/mcb.00409-10</t>
  </si>
  <si>
    <t xml:space="preserve">20696840</t>
  </si>
  <si>
    <t xml:space="preserve">Direct activation — Hypoxia induces IKK activity via CaMK2/TAK1 pathway. Tested in cancer cell cultures, not NP.</t>
  </si>
  <si>
    <t xml:space="preserve">NPMT-I144</t>
  </si>
  <si>
    <t xml:space="preserve">TAK1</t>
  </si>
  <si>
    <t xml:space="preserve">Takaesu G, Surabhi RM, Park KJ, Ninomiya-Tsuji J, Matsumoto K, Gaynor RB. TAK1 is critical for IkappaB kinase-mediated activation of the NF-kappaB pathway. J Mol Biol. 2003 Feb 7;326(1):105-15. doi: 10.1016/s0022-2836(02)01404-3. PMID: 12547194.</t>
  </si>
  <si>
    <t xml:space="preserve">10.1016/s0022-2836(02)01404-3</t>
  </si>
  <si>
    <t xml:space="preserve">12547194</t>
  </si>
  <si>
    <t xml:space="preserve">NPMT-I145</t>
  </si>
  <si>
    <t xml:space="preserve">IL1β</t>
  </si>
  <si>
    <t xml:space="preserve">Makino, H., Seki, S., Yahara, Y. et al. A selective inhibition of c-Fos/activator protein-1 as a potential therapeutic target for intervertebral disc degeneration and associated pain. Sci Rep 7, 16983 (2017). https://doi.org/10.1038/s41598-017-17289-y</t>
  </si>
  <si>
    <t xml:space="preserve">10.1038/s41598-017-17289-y</t>
  </si>
  <si>
    <t xml:space="preserve">NPMT-I146</t>
  </si>
  <si>
    <t xml:space="preserve">Liu Y., Wei J., Zhao Y., Zhang Y., Han Y., Chen B., Cheng K., Jia J., Nie L., Cheng L. Follistatin-like protein 1 promotes inflammatory reactions in nucleus pulposus cells by interacting with the MAPK and NFκB signaling pathways. Oncotarget. 2017; 8: 43023-43034. Retrieved from https://www.oncotarget.com/article/17400/text/</t>
  </si>
  <si>
    <t xml:space="preserve">NPMT-I147</t>
  </si>
  <si>
    <t xml:space="preserve">Matsushita A, Sato T, Mukai S, Fujishita T, Mishiro-Sato E, Okuda M, Aoki M, Hasegawa Y, Sekido Y. TAZ activation by Hippo pathway dysregulation induces cytokine gene expression and promotes mesothelial cell transformation. Oncogene. 2019 Mar;38(11):1966-1978. doi: 10.1038/s41388-018-0417-7. Epub 2018 Nov 6. PMID: 30401981.</t>
  </si>
  <si>
    <t xml:space="preserve">10.1038/s41388-018-0417-7</t>
  </si>
  <si>
    <t xml:space="preserve">30401981</t>
  </si>
  <si>
    <t xml:space="preserve">NPMT-I148</t>
  </si>
  <si>
    <t xml:space="preserve">NPMT-I149</t>
  </si>
  <si>
    <t xml:space="preserve">IL6</t>
  </si>
  <si>
    <t xml:space="preserve">NPMT-I150</t>
  </si>
  <si>
    <t xml:space="preserve">NPMT-I151</t>
  </si>
  <si>
    <t xml:space="preserve">NPMT-I152</t>
  </si>
  <si>
    <t xml:space="preserve">NPMT-I153</t>
  </si>
  <si>
    <t xml:space="preserve">IL8</t>
  </si>
  <si>
    <t xml:space="preserve">Takahashi A, de Andrés MC, Hashimoto K, Itoi E, Oreffo RO. Epigenetic regulation of interleukin-8, an inflammatory chemokine, in osteoarthritis. Osteoarthritis Cartilage. 2015 Nov;23(11):1946-54. doi: 10.1016/j.joca.2015.02.168. PMID: 26521741; PMCID: PMC4638192.</t>
  </si>
  <si>
    <t xml:space="preserve">10.1016/j.joca.2015.02.168</t>
  </si>
  <si>
    <t xml:space="preserve">26521741</t>
  </si>
  <si>
    <t xml:space="preserve">NPMT-I154</t>
  </si>
  <si>
    <t xml:space="preserve">NPMT-I155</t>
  </si>
  <si>
    <t xml:space="preserve">iNOS</t>
  </si>
  <si>
    <t xml:space="preserve">Ahmad, N., Ansari, M. Y., Bano, S., &amp; Haqqi, T. M. (2020). Imperatorin suppresses IL-1β-induced iNOS expression via inhibiting ERK-MAPK/AP1 signaling in primary human OA chondrocytes. International immunopharmacology, 85, 106612.</t>
  </si>
  <si>
    <t xml:space="preserve">NPMT-I156</t>
  </si>
  <si>
    <t xml:space="preserve">NPMT-I157</t>
  </si>
  <si>
    <t xml:space="preserve">NPMT-I158</t>
  </si>
  <si>
    <t xml:space="preserve">PLCγ-E</t>
  </si>
  <si>
    <t xml:space="preserve">NPMT-I159</t>
  </si>
  <si>
    <t xml:space="preserve">Servitja JM, Masgrau R, Pardo R, Sarri E, Picatoste F. Effects of oxidative stress on phospholipid signaling in rat cultured astrocytes and brain slices. J Neurochem. 2000;75(2):788-794. doi: 10.1046/j.1471-4159.2000.0750788.x. PMID: 10899956.</t>
  </si>
  <si>
    <t xml:space="preserve">10.1046/j.1471-4159.2000.0750788.x</t>
  </si>
  <si>
    <t xml:space="preserve">10899956</t>
  </si>
  <si>
    <t xml:space="preserve">Indirect supporting mechanism — Oxidative stress activated PLC and accumulated inositol phosphates, consistent with IP3 generation.</t>
  </si>
  <si>
    <t xml:space="preserve">NPMT-I160</t>
  </si>
  <si>
    <t xml:space="preserve">Vanderheyden V, Devogelaere B, Missiaen L, De Smedt H, Bultynck G, Parys JB. Regulation of inositol 1,4,5-trisphosphate-induced Ca2+ release by reversible phosphorylation and dephosphorylation. Biochim Biophys Acta. 2009 Jun;1793(6):959-70. doi: 10.1016/j.bbamcr.2008.12.003. Epub 2008 Dec 16. PMID: 19133301; PMCID: PMC2693466.</t>
  </si>
  <si>
    <t xml:space="preserve">10.1016/j.bbamcr.2008.12.003</t>
  </si>
  <si>
    <t xml:space="preserve">19133301</t>
  </si>
  <si>
    <t xml:space="preserve">NPMT-I161</t>
  </si>
  <si>
    <t xml:space="preserve">IκBα</t>
  </si>
  <si>
    <t xml:space="preserve">Montaseri, A., Busch, F., Mobasheri, A., Buhrmann, C., Aldinger, C., Rad, J. S., &amp; Shakibaei, M. (2011). IGF-1 and PDGF-bb suppress IL-1β-induced cartilage degradation through down-regulation of NF-κB signaling: involvement of Src/PI-3K/AKT pathway. PloS one, 6(12), e28663.</t>
  </si>
  <si>
    <t xml:space="preserve">NPMT-I162</t>
  </si>
  <si>
    <t xml:space="preserve">Que Y, Wong C, Qiu J, Gao W, Lin Y, Zhou H, Gao B, Li P, Deng Z, Shi H, Hu W, Liu S, Peng Y, Su P, Xu C, Liang A, Qiu X, Huang D. Maslinic acid alleviates intervertebral disc degeneration by inhibiting the PI3K/AKT and NF-κB signaling pathways. Acta Biochim Biophys Sin (Shanghai). 2024 May 25;56(5):776-788. doi: 10.3724/abbs.2024027. PMID: 38495003; PMCID: PMC11187486.</t>
  </si>
  <si>
    <t xml:space="preserve">10.3724/abbs.2024027</t>
  </si>
  <si>
    <t xml:space="preserve">38495003</t>
  </si>
  <si>
    <t xml:space="preserve">NPMT-I163</t>
  </si>
  <si>
    <t xml:space="preserve">Gemba T, Valbracht J, Alsalameh S, Lotz M. Focal adhesion kinase and mitogen-activated protein kinases are involved in chondrocyte activation by the 29-kDa amino-terminal fibronectin fragment. J Biol Chem. 2002 Jan 11;277(2):907-11. doi: 10.1074/jbc.M109690200. Epub 2001 Oct 24. PMID: 11677248.</t>
  </si>
  <si>
    <t xml:space="preserve">10.1074/jbc.m109690200</t>
  </si>
  <si>
    <t xml:space="preserve">11677248</t>
  </si>
  <si>
    <t xml:space="preserve">NPMT-I164</t>
  </si>
  <si>
    <t xml:space="preserve">MKK4/7</t>
  </si>
  <si>
    <t xml:space="preserve">Liu G, Gao L, Wang Y, Xie X, Gao X, Wu X. The JNK signaling pathway in intervertebral disc degeneration. Front Cell Dev Biol. 2024 Sep 19;12:1423665. doi: 10.3389/fcell.2024.1423665. PMID: 39364138; PMCID: PMC11447294.</t>
  </si>
  <si>
    <t xml:space="preserve">10.3389/fcell.2024.1423665</t>
  </si>
  <si>
    <t xml:space="preserve">39364138</t>
  </si>
  <si>
    <t xml:space="preserve">NPMT-I165</t>
  </si>
  <si>
    <t xml:space="preserve">Li Z, Wang J, Deng X, Huang D, Shao Z, Ma K. Compression stress induces nucleus pulposus cell autophagy by inhibition of the PI3K/AKT/mTOR pathway and activation of the JNK pathway. Connect Tissue Res. 2021 May;62(3):337-349. doi: 10.1080/03008207.2020.1736578. Epub 2020 Mar 17. PMID: 32180463.</t>
  </si>
  <si>
    <t xml:space="preserve">10.1080/03008207.2020.1736578</t>
  </si>
  <si>
    <t xml:space="preserve">32180463</t>
  </si>
  <si>
    <t xml:space="preserve">Li 2021 (marker: JNK)</t>
  </si>
  <si>
    <t xml:space="preserve">NPMT-I166</t>
  </si>
  <si>
    <t xml:space="preserve">LATS1/2</t>
  </si>
  <si>
    <t xml:space="preserve">Li H, Li X, Jing X, Li M, Ren Y, Chen J, Yang C, Wu H, Guo F. Hypoxia promotes maintenance of the chondrogenic phenotype in rat growth plate chondrocytes through the HIF-1α/YAP signaling pathway. Int J Mol Med. 2018 Dec;42(6):3181-3192. doi: 10.3892/ijmm.2018.3921. Epub 2018 Oct 9. PMID: 30320354; PMCID: PMC6202095.</t>
  </si>
  <si>
    <t xml:space="preserve">10.3892/ijmm.2018.3921</t>
  </si>
  <si>
    <t xml:space="preserve">30320354</t>
  </si>
  <si>
    <t xml:space="preserve">NPMT-I167</t>
  </si>
  <si>
    <t xml:space="preserve">ROCK-E</t>
  </si>
  <si>
    <t xml:space="preserve">Yu FX, Zhao B, Panupinthu N, Jewell JL, Lian I, Wang LH, Zhao J, Yuan H, Tumaneng K, Li H, Fu XD, Mills GB, Guan KL. Regulation of the Hippo-YAP pathway by G-protein-coupled receptor signaling. Cell. 2012 Aug 17;150(4):780-91. doi: 10.1016/j.cell.2012.06.037. Epub 2012 Aug 2. Erratum in: Cell. 2024 Mar 14;187(6):1563-1564. doi: 10.1016/j.cell.2024.02.007. PMID: 22863277; PMCID: PMC3433174.</t>
  </si>
  <si>
    <t xml:space="preserve">10.1016/j.cell.2012.06.037; 10.1016/j.cell.2024.02.007</t>
  </si>
  <si>
    <t xml:space="preserve">22863277</t>
  </si>
  <si>
    <t xml:space="preserve">NPMT-I168</t>
  </si>
  <si>
    <t xml:space="preserve">ROCK-M</t>
  </si>
  <si>
    <t xml:space="preserve">NPMT-I169</t>
  </si>
  <si>
    <t xml:space="preserve">PKN1</t>
  </si>
  <si>
    <t xml:space="preserve">LIMK1</t>
  </si>
  <si>
    <t xml:space="preserve">Dong LQ, Landa LR, Wick MJ, Zhu L, Mukai H, Ono Y, Liu F. Phosphorylation of protein kinase N by phosphoinositide-dependent protein kinase-1 mediates insulin signals to the actin cytoskeleton. Proc Natl Acad Sci U S A. 2000;97(10):5089-5094. doi: 10.1073/pnas.090491897. PMID: 10792047.
Ohashi K, Nagata K, Maekawa M, Ishizaki T, Narumiya S, Mizuno K. Rho-associated kinase ROCK activates LIM-kinase 1 by phosphorylation at threonine 508 within the activation loop. J Biol Chem. 2000;275(5):3577-3582. doi: 10.1074/jbc.275.5.3577. PMID: 10652353.</t>
  </si>
  <si>
    <t xml:space="preserve">10.1073/pnas.090491897; 10.1074/jbc.275.5.3577</t>
  </si>
  <si>
    <t xml:space="preserve">10792047; 10652353</t>
  </si>
  <si>
    <t xml:space="preserve">Contextual; pathway analogy only — PKN1 is activated by PDK1 and affects actin cytoskeleton; separately ROCK activates LIMK1; PKN1 to LIMK1 not directly demonstrated. Selected two primary mechanistic studies that connect PKN1 and LIMK1 to cytoskeletal regulation separately; no direct PKN1→LIMK1 evidence</t>
  </si>
  <si>
    <t xml:space="preserve">NPMT-I170</t>
  </si>
  <si>
    <t xml:space="preserve">Li Z, Liang J, Wu WK, Yu X, Yu J, Weng X, Shen J. Leptin activation RhoA/ROCK pathway to induce cytoskeleton remodeling in nucleus pulposus cells. Int J Mol Sci. 2014 Jan 16;15(1):1176-88. doi: 10.3390/ijms15011176. PMID: 24441571; PMCID: PMC3907862.</t>
  </si>
  <si>
    <t xml:space="preserve">10.3390/ijms15011176</t>
  </si>
  <si>
    <t xml:space="preserve">24441571</t>
  </si>
  <si>
    <t xml:space="preserve">NPMT-I171</t>
  </si>
  <si>
    <t xml:space="preserve">NPMT-I172</t>
  </si>
  <si>
    <t xml:space="preserve">Huang Y, Smith CA, Chen G, Sharma B, Miner AS, Barbee RW, Ratz PH. The AMP-Dependent Protein Kinase (AMPK) Activator A-769662 Causes Arterial Relaxation by Reducing Cytosolic Free Calcium Independently of an Increase in AMPK Phosphorylation. Front Pharmacol. 2017 Oct 18;8:756. doi: 10.3389/fphar.2017.00756. PMID: 29093683; PMCID: PMC5651270.</t>
  </si>
  <si>
    <t xml:space="preserve">10.3389/fphar.2017.00756</t>
  </si>
  <si>
    <t xml:space="preserve">29093683</t>
  </si>
  <si>
    <t xml:space="preserve">NPMT-I173</t>
  </si>
  <si>
    <t xml:space="preserve">Patel P, Naik MU, Golla K, Shaik NF, Naik UP. Calcium-induced dissociation of CIB1 from ASK1 regulates agonist-induced activation of the p38 MAPK pathway in platelets. Biochem J. 2019 Oct 15;476(19):2835-2850. doi: 10.1042/BCJ20190410. PMID: 31530712; PMCID: PMC7071732.</t>
  </si>
  <si>
    <t xml:space="preserve">10.1042/bcj20190410</t>
  </si>
  <si>
    <t xml:space="preserve">31530712</t>
  </si>
  <si>
    <t xml:space="preserve">NPMT-I174</t>
  </si>
  <si>
    <t xml:space="preserve">NPMT-I175</t>
  </si>
  <si>
    <t xml:space="preserve">RAF-E</t>
  </si>
  <si>
    <t xml:space="preserve">IDD review</t>
  </si>
  <si>
    <t xml:space="preserve">Zhang X, Zhang Z, Zou X, Wang Y, Qi J, Han S, Xin J, Zheng Z, Wei L, Zhang T, Zhang S. Unraveling the mechanisms of intervertebral disc degeneration: an exploration of the p38 MAPK signaling pathway. Front Cell Dev Biol. 2024 Jan 19;11:1324561. doi: 10.3389/fcell.2023.1324561. PMID: 38313000; PMCID: PMC10834758.</t>
  </si>
  <si>
    <t xml:space="preserve">10.3389/fcell.2023.1324561</t>
  </si>
  <si>
    <t xml:space="preserve">38313000</t>
  </si>
  <si>
    <t xml:space="preserve">NPMT-I176</t>
  </si>
  <si>
    <t xml:space="preserve">RAF-M</t>
  </si>
  <si>
    <t xml:space="preserve">NPMT-I177</t>
  </si>
  <si>
    <t xml:space="preserve">MKK3/6</t>
  </si>
  <si>
    <t xml:space="preserve">Shi ZW, Zhu L, Song ZR, Liu TJ, Hao DJ. Roles of p38 MAPK signalling in intervertebral disc degeneration. Cell Prolif. 2023 Aug;56(8):e13438. doi: 10.1111/cpr.13438. Epub 2023 Mar 5. PMID: 36872558; PMCID: PMC10392072.</t>
  </si>
  <si>
    <t xml:space="preserve">10.1111/cpr.13438</t>
  </si>
  <si>
    <t xml:space="preserve">36872558</t>
  </si>
  <si>
    <t xml:space="preserve">NPMT-I178</t>
  </si>
  <si>
    <t xml:space="preserve">NPMT-I179</t>
  </si>
  <si>
    <t xml:space="preserve">MMP1</t>
  </si>
  <si>
    <t xml:space="preserve">Catterall JB, Carrère S, Koshy PJ, Degnan BA, Shingleton WD, Brinckerhoff CE, Rutter J, Cawston TE, Rowan AD. Synergistic induction of matrix metalloproteinase 1 by interleukin-1alpha and oncostatin M in human chondrocytes involves signal transducer and activator of transcription and activator protein 1 transcription factors via a novel mechanism. Arthritis Rheum. 2001 Oct;44(10):2296-310. doi: 10.1002/1529-0131(200110)44:10&lt;2296::aid-art392&gt;3.0.co;2-9. PMID: 11665970.</t>
  </si>
  <si>
    <t xml:space="preserve">10.1002/1529-0131(200110)44:10&lt;2296::aid-art392&gt;3.0.co;2-9</t>
  </si>
  <si>
    <t xml:space="preserve">11665970</t>
  </si>
  <si>
    <t xml:space="preserve">NPMT-I180</t>
  </si>
  <si>
    <t xml:space="preserve">NPMT-I181</t>
  </si>
  <si>
    <t xml:space="preserve">Li M, Zhang FJ, Bai RJ. The Hippo-YAP Signaling Pathway in Osteoarthritis and Rheumatoid Arthritis. J Inflamm Res. 2024 Feb 19;17:1105-1120. doi: 10.2147/JIR.S444758. PMID: 38406325; PMCID: PMC10891274.</t>
  </si>
  <si>
    <t xml:space="preserve">10.2147/jir.s444758</t>
  </si>
  <si>
    <t xml:space="preserve">38406325</t>
  </si>
  <si>
    <t xml:space="preserve">NPMT-I182</t>
  </si>
  <si>
    <t xml:space="preserve">Ouyang Y, Wang W, Tu B, Zhu Y, Fan C, Li Y. Overexpression of SOX9 alleviates the progression of human osteoarthritis in vitro and in vivo. Drug Des Devel Ther. 2019 Aug 13;13:2833-2842. doi: 10.2147/DDDT.S203974. PMID: 31496660; PMCID: PMC6698167.</t>
  </si>
  <si>
    <t xml:space="preserve">10.2147/dddt.s203974</t>
  </si>
  <si>
    <t xml:space="preserve">31496660</t>
  </si>
  <si>
    <t xml:space="preserve">NPMT-I183</t>
  </si>
  <si>
    <t xml:space="preserve">MMP13</t>
  </si>
  <si>
    <t xml:space="preserve">Makino H, Seki S, Yahara Y, Shiozawa S, Aikawa Y, Motomura H, Nogami M, Watanabe K, Sainoh T, Ito H, Tsumaki N, Kawaguchi Y, Yamazaki M, Kimura T. A selective inhibition of c-Fos/activator protein-1 as a potential therapeutic target for intervertebral disc degeneration and associated pain. Sci Rep. 2017 Dec 5;7(1):16983. doi: 10.1038/s41598-017-17289-y. PMID: 29208967; PMCID: PMC5717052.</t>
  </si>
  <si>
    <t xml:space="preserve">29208967</t>
  </si>
  <si>
    <t xml:space="preserve">NPMT-I184</t>
  </si>
  <si>
    <t xml:space="preserve">NPMT-I185</t>
  </si>
  <si>
    <t xml:space="preserve">Song M, Zhang Y, Sun Y, Kong M, Han S, Wang C, Wang Y, Xu D, Tu Q, Zhu K, Sun C, Li G, Zhao H, Ma X. Inhibition of RhoA/MRTF-A signaling alleviates nucleus pulposus fibrosis induced by mechanical stress overload. Connect Tissue Res. 2022 Jan;63(1):53-68. doi: 10.1080/03008207.2021.1952193. Epub 2021 Aug 21. PMID: 34420462.</t>
  </si>
  <si>
    <t xml:space="preserve">10.1080/03008207.2021.1952193</t>
  </si>
  <si>
    <t xml:space="preserve">34420462</t>
  </si>
  <si>
    <t xml:space="preserve">NPMT-I186</t>
  </si>
  <si>
    <t xml:space="preserve">NPMT-I187</t>
  </si>
  <si>
    <t xml:space="preserve">Wang J, Gardner BM, Lu Q, Rodova M, Woodbury BG, Yost JG, Roby KF, Pinson DM, Tawfik O, Anderson HC. Transcription factor Nfat1 deficiency causes osteoarthritis through dysfunction of adult articular chondrocytes. J Pathol. 2009 Oct;219(2):163-72. doi: 10.1002/path.2578. PMID: 19526482; PMCID: PMC2975457.</t>
  </si>
  <si>
    <t xml:space="preserve">10.1002/path.2578</t>
  </si>
  <si>
    <t xml:space="preserve">19526482</t>
  </si>
  <si>
    <t xml:space="preserve">NPMT-I188</t>
  </si>
  <si>
    <t xml:space="preserve">dog</t>
  </si>
  <si>
    <t xml:space="preserve">Itoh H, Hara Y, Tagawa M, Kato T, Ochi H, Koga D, Okawa A, Asou Y. Evaluation of the association between runt-related transcription factor 2 expression and intervertebral disk aging in dogs. Am J Vet Res. 2012 Oct;73(10):1553-9. doi: 10.2460/ajvr.73.10.1553. PMID: 23013180.</t>
  </si>
  <si>
    <t xml:space="preserve">10.2460/ajvr.73.10.1553</t>
  </si>
  <si>
    <t xml:space="preserve">23013180</t>
  </si>
  <si>
    <t xml:space="preserve">NPMT-I189</t>
  </si>
  <si>
    <t xml:space="preserve">NPMT-I190</t>
  </si>
  <si>
    <t xml:space="preserve">NPMT-I191</t>
  </si>
  <si>
    <t xml:space="preserve">MMP3</t>
  </si>
  <si>
    <t xml:space="preserve">NPMT-I192</t>
  </si>
  <si>
    <t xml:space="preserve">NPMT-I193</t>
  </si>
  <si>
    <t xml:space="preserve">NPMT-I194</t>
  </si>
  <si>
    <t xml:space="preserve">NPMT-I195</t>
  </si>
  <si>
    <t xml:space="preserve">Chipuk, J., Bouchier-Hayes, L. &amp; Green, D. Mitochondrial outer membrane permeabilization during apoptosis: the innocent bystander scenario. Cell Death Differ 13, 1396–1402 (2006). https://doi.org/10.1038/sj.cdd.4401963</t>
  </si>
  <si>
    <t xml:space="preserve">10.1038/sj.cdd.4401963</t>
  </si>
  <si>
    <t xml:space="preserve">NPMT-I196</t>
  </si>
  <si>
    <t xml:space="preserve">NPMT-I197</t>
  </si>
  <si>
    <t xml:space="preserve">Zhao XH, Laschinger C, Arora P, Szászi K, Kapus A, McCulloch CA. Force activation smooth muscle alpha-actin promoter activity through the Rho signaling pathway. J Cell Sci. 2007 May 15;120(Pt 10):1801-9. doi: 10.1242/jcs.001586. Epub 2007 Apr 24. PMID: 17456553.</t>
  </si>
  <si>
    <t xml:space="preserve">10.1242/jcs.001586</t>
  </si>
  <si>
    <t xml:space="preserve">17456553</t>
  </si>
  <si>
    <t xml:space="preserve">NPMT-I198</t>
  </si>
  <si>
    <t xml:space="preserve">NPMT-I199</t>
  </si>
  <si>
    <t xml:space="preserve">Yu FX, Zhang Y, Park HW, Jewell JL, Chen Q, Deng Y, Pan D, Taylor SS, Lai ZC, Guan KL. Protein kinase A activation the Hippo pathway to modulate cell proliferation and differentiation. Genes Dev. 2013 Jun 1;27(11):1223-32. doi: 10.1101/gad.219402.113. PMID: 23752589; PMCID: PMC3690396.</t>
  </si>
  <si>
    <t xml:space="preserve">10.1101/gad.219402.113</t>
  </si>
  <si>
    <t xml:space="preserve">23752589</t>
  </si>
  <si>
    <t xml:space="preserve">NPMT-I200</t>
  </si>
  <si>
    <t xml:space="preserve">Szwed A, Kim E, Jacinto E. Regulation and metabolic functions of mTORC1 and mTORC2. Physiol Rev. 2021 Jul 1;101(3):1371-1426. doi: 10.1152/physrev.00026.2020. Epub 2021 Feb 18. PMID: 33599151; PMCID: PMC8424549.</t>
  </si>
  <si>
    <t xml:space="preserve">10.1152/physrev.00026.2020</t>
  </si>
  <si>
    <t xml:space="preserve">33599151</t>
  </si>
  <si>
    <t xml:space="preserve">NPMT-I201</t>
  </si>
  <si>
    <t xml:space="preserve">NPMT-I202</t>
  </si>
  <si>
    <t xml:space="preserve">PLD2</t>
  </si>
  <si>
    <t xml:space="preserve">Hornberger TA, Chu WK, Mak YW, Hsiung JW, Huang SA, Chien S. The role of phospholipase D and phosphatidic acid in the mechanical activation of mTOR signaling in skeletal muscle. Proc Natl Acad Sci U S A. 2006 Mar 21;103(12):4741-6. doi: 10.1073/pnas.0600678103. Epub 2006 Mar 14. PMID: 16537399; PMCID: PMC1450240.</t>
  </si>
  <si>
    <t xml:space="preserve">10.1073/pnas.0600678103</t>
  </si>
  <si>
    <t xml:space="preserve">16537399</t>
  </si>
  <si>
    <t xml:space="preserve">NPMT-I203</t>
  </si>
  <si>
    <t xml:space="preserve">Rheb</t>
  </si>
  <si>
    <t xml:space="preserve">Long X, Lin Y, Ortiz-Vega S, Yonezawa K, Avruch J. Rheb binds and regulates the mTOR kinase. Curr Biol. 2005 Apr 26;15(8):702-13. doi: 10.1016/j.cub.2005.02.053. PMID: 15854902.</t>
  </si>
  <si>
    <t xml:space="preserve">10.1016/j.cub.2005.02.053</t>
  </si>
  <si>
    <t xml:space="preserve">15854902</t>
  </si>
  <si>
    <t xml:space="preserve">NPMT-I204</t>
  </si>
  <si>
    <t xml:space="preserve">Ansari MY, Ahmad N, Haqqi TM. Butein activation Autophagy Through AMPK/TSC2/ULK1/mTOR Pathway to Inhibit IL-6 Expression in IL-1β Stimulated Human Chondrocytes. Cell Physiol Biochem. 2018;49(3):932-946. doi: 10.1159/000493225. Epub 2018 Sep 5. PMID: 30184535.</t>
  </si>
  <si>
    <t xml:space="preserve">10.1159/000493225</t>
  </si>
  <si>
    <t xml:space="preserve">30184535</t>
  </si>
  <si>
    <t xml:space="preserve">NPMT-I205</t>
  </si>
  <si>
    <t xml:space="preserve">Thompson WR, Guilluy C, Xie Z, Sen B, Brobst KE, Yen SS, Uzer G, Styner M, Case N, Burridge K, Rubin J. Mechanically activated Fyn utilizes mTORC2 to regulate RhoA and adipogenesis in mesenchymal stem cells. Stem Cells. 2013 Nov;31(11):2528-37. doi: 10.1002/stem.1476. PMID: 23836527; PMCID: PMC4040149.</t>
  </si>
  <si>
    <t xml:space="preserve">10.1002/stem.1476</t>
  </si>
  <si>
    <t xml:space="preserve">23836527</t>
  </si>
  <si>
    <t xml:space="preserve">NPMT-I206</t>
  </si>
  <si>
    <t xml:space="preserve">Ouyang ZH, Wang WJ, Yan YG, Wang B, Lv GH. The PI3K/Akt pathway: a critical player in intervertebral disc degeneration. Oncotarget. 2017 Jun 27;8(34):57870-57881. doi: 10.18632/oncotarget.18628. PMID: 28915718; PMCID: PMC5593690.</t>
  </si>
  <si>
    <t xml:space="preserve">10.18632/oncotarget.18628</t>
  </si>
  <si>
    <t xml:space="preserve">28915718</t>
  </si>
  <si>
    <t xml:space="preserve">NPMT-I207</t>
  </si>
  <si>
    <t xml:space="preserve">ulien LA, Carriere A, Moreau J, Roux PP. mTORC1-activated S6K1 phosphorylates Rictor on threonine 1135 and regulates mTORC2 signaling. Mol Cell Biol. 2010 Feb;30(4):908-21. doi: 10.1128/MCB.00601-09. Epub 2009 Dec 7. PMID: 19995915; PMCID: PMC2815569.</t>
  </si>
  <si>
    <t xml:space="preserve">10.1128/mcb.00601-09</t>
  </si>
  <si>
    <t xml:space="preserve">19995915</t>
  </si>
  <si>
    <t xml:space="preserve">NPMT-I208</t>
  </si>
  <si>
    <t xml:space="preserve">Feng C, He J, Zhang Y, Lan M, Yang M, Liu H, Huang B, Pan Y, Zhou Y. Collagen-derived N-acetylated proline-glycine-proline upregulates the expression of pro-inflammatory cytokines and extracellular matrix proteases in nucleus pulposus cells via the NF-κB and MAPK signaling pathways. Int J Mol Med. 2017 Jul;40(1):164-174. doi: 10.3892/ijmm.2017.3005. Epub 2017 May 29. PMID: 28560408; PMCID: PMC5466390.</t>
  </si>
  <si>
    <t xml:space="preserve">10.3892/ijmm.2017.3005</t>
  </si>
  <si>
    <t xml:space="preserve">28560408</t>
  </si>
  <si>
    <t xml:space="preserve">NPMT-I209</t>
  </si>
  <si>
    <t xml:space="preserve">Hou G, Zhao H, Teng H, Li P, Xu W, Zhang J, Lv L, Guo Z, Wei L, Yao H, Xu Y. N-Cadherin Attenuates High Glucose-Induced Nucleus Pulposus Cell Senescence Through Regulation of the ROS/NF-κB Pathway. Cell Physiol Biochem. 2018;47(1):257-265. doi: 10.1159/000489804. Epub 2018 May 11. PMID: 29768261.</t>
  </si>
  <si>
    <t xml:space="preserve">10.1159/000489804</t>
  </si>
  <si>
    <t xml:space="preserve">29768261</t>
  </si>
  <si>
    <t xml:space="preserve">NPMT-I210</t>
  </si>
  <si>
    <t xml:space="preserve">tissue</t>
  </si>
  <si>
    <t xml:space="preserve">NPMT-I211</t>
  </si>
  <si>
    <t xml:space="preserve">Lin, W., Shi, C., Wang, W., Wu, H., Yang, C., Wang, A., ... &amp; Yuan, W. (2019). Osmolarity and calcium regulate connective tissue growth factor (CTGF/CCN2) expression in nucleus pulposus cells. Gene, 704, 15-24.</t>
  </si>
  <si>
    <t xml:space="preserve">NPMT-I212</t>
  </si>
  <si>
    <t xml:space="preserve">Mice, murine</t>
  </si>
  <si>
    <t xml:space="preserve">Zhou Z, Zhang L, Liu Y, Huang C, Xia W, Zhou H, Zhou Z, Zhou X. Luteolin Protects Chondrocytes from H2O2-Induced Oxidative Injury and Attenuates Osteoarthritis Progression by Activating AMPK-Nrf2 Signaling. Oxid Med Cell Longev. 2022 Feb 1;2022:5635797. doi: 10.1155/2022/5635797. PMID: 35154568; PMCID: PMC8825676.
Tang Z, Hu B, Zang F, Wang J, Zhang X, Chen H. Nrf2 drives oxidative stress-induced autophagy in nucleus pulposus cells via a Keap1/Nrf2/p62 feedback loop to protect intervertebral disc from degeneration. Cell Death Dis. 2019 Jul 1;10(7):510. doi: 10.1038/s41419-019-1701-3. PMID: 31263165; PMCID: PMC6602960.</t>
  </si>
  <si>
    <t xml:space="preserve">10.1155/2022/5635797; 10.1038/s41419-019-1701-3</t>
  </si>
  <si>
    <t xml:space="preserve">35154568; 31263165</t>
  </si>
  <si>
    <t xml:space="preserve">NPMT-I213</t>
  </si>
  <si>
    <t xml:space="preserve">Xu JJ, Cui J, Lin Q, Chen XY, Zhang J, Gao EH, Wei B, Zhao W. Protection of the enhanced Nrf2 deacetylation and its downstream transcriptional activity by SIRT1 in myocardial ischemia/reperfusion injury. Int J Cardiol. 2021 Nov 1;342:82-93. doi: 10.1016/j.ijcard.2021.08.007. Epub 2021 Aug 14. PMID: 34403762.</t>
  </si>
  <si>
    <t xml:space="preserve">10.1016/j.ijcard.2021.08.007</t>
  </si>
  <si>
    <t xml:space="preserve">34403762</t>
  </si>
  <si>
    <t xml:space="preserve">NPMT-I214</t>
  </si>
  <si>
    <t xml:space="preserve">Rada P, Rojo AI, Chowdhry S, McMahon M, Hayes JD, Cuadrado A. SCF/{beta}-TrCP promotes glycogen synthase kinase 3-dependent degradation of the Nrf2 transcription factor in a Keap1-independent manner. Mol Cell Biol. 2011 Mar;31(6):1121-33. doi: 10.1128/MCB.01204-10. Epub 2011 Jan 18. PMID: 21245377; PMCID: PMC3067901.</t>
  </si>
  <si>
    <t xml:space="preserve">10.1128/mcb.01204-10</t>
  </si>
  <si>
    <t xml:space="preserve">21245377</t>
  </si>
  <si>
    <t xml:space="preserve">NPMT-I215</t>
  </si>
  <si>
    <t xml:space="preserve">NPMT-I216</t>
  </si>
  <si>
    <t xml:space="preserve">NPMT-I217</t>
  </si>
  <si>
    <t xml:space="preserve">Dimozi A, Mavrogonatou E, Sklirou A, Kletsas D. Oxidative stress inhibits the proliferation, induces premature senescence and promotes a catabolic phenotype in human nucleus pulposus intervertebral disc cells. Eur Cell Mater. 2015;30:89-102. doi: 10.22203/ecm.v030a07. PMID: 26337541.</t>
  </si>
  <si>
    <t xml:space="preserve">10.22203/ecm.v030a07</t>
  </si>
  <si>
    <t xml:space="preserve">26337541</t>
  </si>
  <si>
    <t xml:space="preserve">Supported in NP — H2O2-driven oxidative stress activates p38</t>
  </si>
  <si>
    <t xml:space="preserve">NPMT-I218</t>
  </si>
  <si>
    <t xml:space="preserve">PAK1</t>
  </si>
  <si>
    <t xml:space="preserve">Shin, Yong Jae, et al. "Evidence for a novel mechanism of the PAK1 interaction with the Rho-GTPases Cdc42 and Rac." PLoS One 8.8 (2013): e71495.</t>
  </si>
  <si>
    <t xml:space="preserve">NPMT-I219</t>
  </si>
  <si>
    <t xml:space="preserve">RAC1-E</t>
  </si>
  <si>
    <t xml:space="preserve">Yi YY, Chen H, Zhang SB, Xu HW, Fang XY, Wang SJ. Exogenous Klotho ameliorates extracellular matrix degradation and angiogenesis in intervertebral disc degeneration via inhibition of the Rac1/PAK1/MMP-2 signaling axis. Mech Ageing Dev. 2022 Oct;207:111715. doi: 10.1016/j.mad.2022.111715. Epub 2022 Aug 8. PMID: 35952859.</t>
  </si>
  <si>
    <t xml:space="preserve">10.1016/j.mad.2022.111715</t>
  </si>
  <si>
    <t xml:space="preserve">35952859</t>
  </si>
  <si>
    <t xml:space="preserve">NPMT-I220</t>
  </si>
  <si>
    <t xml:space="preserve">RAC1-M</t>
  </si>
  <si>
    <t xml:space="preserve">NPMT-I221</t>
  </si>
  <si>
    <t xml:space="preserve">Zhang Y, Liu L, Qi Y, Lou J, Chen Y, Liu C, Li H, Chang X, Hu Z, Li Y, Zhang Y, Feng C, Zhou Y, Zhai Y, Li C. Lactic acid promotes nucleus pulposus cell senescence and corresponding intervertebral disc degeneration via interacting with Akt. Cell Mol Life Sci. 2024 Jan 12;81(1):24. doi: 10.1007/s00018-023-05094-y. Erratum in: Cell Mol Life Sci. 2025 Aug 26;82(1):319. doi: 10.1007/s00018-025-05824-4. PMID: 38212432; PMCID: PMC11071984.</t>
  </si>
  <si>
    <t xml:space="preserve">10.1007/s00018-023-05094-y; 10.1007/s00018-025-05824-4</t>
  </si>
  <si>
    <t xml:space="preserve">38212432</t>
  </si>
  <si>
    <t xml:space="preserve">NPMT-I222</t>
  </si>
  <si>
    <t xml:space="preserve">NPMT-I223</t>
  </si>
  <si>
    <t xml:space="preserve">PGE2</t>
  </si>
  <si>
    <t xml:space="preserve">Lin, Jialiang, et al. "Luteoloside inhibition IL-1β-induced apoptosis and catabolism in nucleus pulposus cells and ameliorates intervertebral disk degeneration." Frontiers in pharmacology 10 (2019): 868.</t>
  </si>
  <si>
    <t xml:space="preserve">NPMT-I224</t>
  </si>
  <si>
    <t xml:space="preserve">PLA2</t>
  </si>
  <si>
    <t xml:space="preserve">Fibroblast</t>
  </si>
  <si>
    <t xml:space="preserve">Kuwata H, Nakatani Y, Murakami M, Kudo I. Cytosolic phospholipase A2 is required for cytokine-induced expression of type IIA secretory phospholipase A2 that mediates optimal cyclooxygenase-2-dependent delayed prostaglandin E2 generation in rat 3Y1 fibroblasts. J Biol Chem. 1998 Jan 16;273(3):1733-40. doi: 10.1074/jbc.273.3.1733. PMID: 9430720.</t>
  </si>
  <si>
    <t xml:space="preserve">10.1074/jbc.273.3.1733</t>
  </si>
  <si>
    <t xml:space="preserve">9430720</t>
  </si>
  <si>
    <t xml:space="preserve">NPMT-I225</t>
  </si>
  <si>
    <t xml:space="preserve">PHD2</t>
  </si>
  <si>
    <t xml:space="preserve">Fujita N, Markova D, Anderson DG, Chiba K, Toyama Y, Shapiro IM, Risbud MV. Expression of prolyl hydroxylases (PHDs) is selectively controlled by HIF-1 and HIF-2 proteins in nucleus pulposus cells of the intervertebral disc: distinct roles of PHD2 and PHD3 proteins in controlling HIF-1α activity in hypoxia. J Biol Chem. 2012 May 11;287(20):16975-86. doi: 10.1074/jbc.M111.334466. Epub 2012 Mar 26. PMID: 22451659; PMCID: PMC3351286.</t>
  </si>
  <si>
    <t xml:space="preserve">10.1074/jbc.m111.334466</t>
  </si>
  <si>
    <t xml:space="preserve">22451659</t>
  </si>
  <si>
    <t xml:space="preserve">NPMT-I226</t>
  </si>
  <si>
    <t xml:space="preserve">PI3K-E</t>
  </si>
  <si>
    <t xml:space="preserve">nP</t>
  </si>
  <si>
    <t xml:space="preserve">Zhang X, Hu Z, Hao J, Shen J. Low Intensity Pulsed Ultrasound Promotes the Extracellular Matrix Synthesis of Degenerative Human Nucleus Pulposus Cells Through FAK/PI3K/Akt Pathway. Spine (Phila Pa 1976). 2016 Mar;41(5):E248-54. doi: 10.1097/BRS.0000000000001220. PMID: 26571160.</t>
  </si>
  <si>
    <t xml:space="preserve">10.1097/brs.0000000000001220</t>
  </si>
  <si>
    <t xml:space="preserve">26571160</t>
  </si>
  <si>
    <t xml:space="preserve">NPMT-I227</t>
  </si>
  <si>
    <t xml:space="preserve">PI3K-M</t>
  </si>
  <si>
    <t xml:space="preserve">NPMT-I228</t>
  </si>
  <si>
    <t xml:space="preserve">HL</t>
  </si>
  <si>
    <t xml:space="preserve">Yang Q, Zhou Y, Wang J, Fu W, Li X. Study on the mechanism of excessive apoptosis of nucleus pulposus cells induced by shRNA-Piezo1 under abnormal mechanical stretch stress. J Cell Biochem. 2019 Mar;120(3):3989-3997. doi: 10.1002/jcb.27683. Epub 2018 Sep 27. PMID: 30260030.</t>
  </si>
  <si>
    <t xml:space="preserve">10.1002/jcb.27683</t>
  </si>
  <si>
    <t xml:space="preserve">30260030</t>
  </si>
  <si>
    <t xml:space="preserve">NPMT-I229</t>
  </si>
  <si>
    <t xml:space="preserve">Endothelial cells</t>
  </si>
  <si>
    <t xml:space="preserve">Human umbilical vein endothelial cells</t>
  </si>
  <si>
    <t xml:space="preserve">Arenas GA, Cochrane ALK, Peñaloza E, et al. Hypoxic development down-regulates endothelial Piezo1 via HIF1-α signaling and impairs Piezo1-mediated vasorelaxation. Clin Sci (Lond). 2026;140(4):493-507. doi: 10.1042/CS20258735. PMID: 41736699.</t>
  </si>
  <si>
    <t xml:space="preserve">10.1042/cs20258735</t>
  </si>
  <si>
    <t xml:space="preserve">41736699</t>
  </si>
  <si>
    <t xml:space="preserve">Direct sign match, distant cell type — Hypoxia decreases PIEZO1 in HUVEC. NP transfer is speculative.</t>
  </si>
  <si>
    <t xml:space="preserve">NPMT-I230</t>
  </si>
  <si>
    <t xml:space="preserve">He, Y., Sun, M.M., Zhang, G.G. et al. Targeting PI3K/Akt signal transduction for cancer therapy. Sig Transduct Target Ther 6, 425 (2021). https://doi.org/10.1038/s41392-021-00828-5</t>
  </si>
  <si>
    <t xml:space="preserve">10.1038/s41392-021-00828-5</t>
  </si>
  <si>
    <t xml:space="preserve">NPMT-I231</t>
  </si>
  <si>
    <t xml:space="preserve">PTEN</t>
  </si>
  <si>
    <t xml:space="preserve">Human 293 cells and purified enzyme</t>
  </si>
  <si>
    <t xml:space="preserve">In vitro / biochemical</t>
  </si>
  <si>
    <t xml:space="preserve">Maehama T, Dixon JE. The tumor suppressor, PTEN/MMAC1, dephosphorylates the lipid second messenger, phosphatidylinositol 3,4,5-trisphosphate. J Biol Chem. 1998;273(22):13375-13378. doi: 10.1074/jbc.273.22.13375. PMID: 9593664.</t>
  </si>
  <si>
    <t xml:space="preserve">10.1074/jbc.273.22.13375</t>
  </si>
  <si>
    <t xml:space="preserve">9593664</t>
  </si>
  <si>
    <t xml:space="preserve">Direct general pathway, compartment unresolved — PTEN directly dephosphorylates PIP3; E tag is NOT experimentally distinguished.</t>
  </si>
  <si>
    <t xml:space="preserve">NPMT-I232</t>
  </si>
  <si>
    <t xml:space="preserve">NPMT-I233</t>
  </si>
  <si>
    <t xml:space="preserve">PKC-M</t>
  </si>
  <si>
    <t xml:space="preserve">Kunkel MT, Toker A, Tsien RY, Newton AC. Calcium-dependent regulation of protein kinase D revealed by a genetically encoded kinase activity reporter. J Biol Chem. 2007 Mar 2;282(9):6733-42. doi: 10.1074/jbc.M608086200. Epub 2006 Dec 21. PMID: 17189263; PMCID: PMC2921767.</t>
  </si>
  <si>
    <t xml:space="preserve">10.1074/jbc.m608086200</t>
  </si>
  <si>
    <t xml:space="preserve">17189263</t>
  </si>
  <si>
    <t xml:space="preserve">NPMT-I234</t>
  </si>
  <si>
    <t xml:space="preserve">Lim ST, Longley RL, Couchman JR, Woods A. Direct binding of syndecan-4 cytoplasmic domain to the catalytic domain of protein kinase C alpha (PKC alpha) increases focal adhesion localization of PKC alpha. J Biol Chem. 2003 Apr 18;278(16):13795-802. doi: 10.1074/jbc.M208300200. Epub 2003 Feb 5. PMID: 12571249.</t>
  </si>
  <si>
    <t xml:space="preserve">10.1074/jbc.m208300200</t>
  </si>
  <si>
    <t xml:space="preserve">12571249</t>
  </si>
  <si>
    <t xml:space="preserve">NPMT-I235</t>
  </si>
  <si>
    <t xml:space="preserve">PKC-E</t>
  </si>
  <si>
    <t xml:space="preserve">NPMT-I236</t>
  </si>
  <si>
    <t xml:space="preserve">NPMT-I237</t>
  </si>
  <si>
    <t xml:space="preserve">RhoA-E</t>
  </si>
  <si>
    <t xml:space="preserve">Watanabe G, Saito Y, Madaule P, Ishizaki T, Fujisawa K, Morii N, Mukai H, Ono Y, Kakizuka A, Narumiya S. Protein kinase N (PKN) and PKN-related protein rhophilin as targets of small GTPase Rho. Science. 1996 Feb 2;271(5249):645-8. doi: 10.1126/science.271.5249.645. PMID: 8571126.</t>
  </si>
  <si>
    <t xml:space="preserve">10.1126/science.271.5249.645</t>
  </si>
  <si>
    <t xml:space="preserve">8571126</t>
  </si>
  <si>
    <t xml:space="preserve">NPMT-I238</t>
  </si>
  <si>
    <t xml:space="preserve">Gilman SC, Chang J. Characterization of interleukin 1 induced rabbit chondrocyte phospholipase A2. J Rheumatol. 1990 Oct;17(10):1392-6. PMID: 2254900.</t>
  </si>
  <si>
    <t xml:space="preserve">2254900</t>
  </si>
  <si>
    <t xml:space="preserve">NPMT-I239</t>
  </si>
  <si>
    <t xml:space="preserve">Pavicevic Z, Leslie CC, Malik KU. cPLA2 phosphorylation at serine-515 and serine-505 is required for arachidonic acid release in vascular smooth muscle cells. J Lipid Res. 2008 Apr;49(4):724-37. doi: 10.1194/jlr.M700419-JLR200. Epub 2008 Jan 9. PMID: 18187403.</t>
  </si>
  <si>
    <t xml:space="preserve">10.1194/jlr.m700419-jlr200</t>
  </si>
  <si>
    <t xml:space="preserve">18187403</t>
  </si>
  <si>
    <t xml:space="preserve">NPMT-I240</t>
  </si>
  <si>
    <t xml:space="preserve">NPMT-I241</t>
  </si>
  <si>
    <t xml:space="preserve">Kramer RM, Roberts EF, Um SL, Börsch-Haubold AG, Watson SP, Fisher MJ, Jakubowski JA. p38 mitogen-activated protein kinase phosphorylates cytosolic phospholipase A2 (cPLA2) in thrombin-stimulated platelets. Evidence that proline-directed phosphorylation is not required for mobilization of arachidonic acid by cPLA2. J Biol Chem. 1996 Nov 1;271(44):27723-9. doi: 10.1074/jbc.271.44.27723. PMID: 8910365.</t>
  </si>
  <si>
    <t xml:space="preserve">10.1074/jbc.271.44.27723</t>
  </si>
  <si>
    <t xml:space="preserve">8910365</t>
  </si>
  <si>
    <t xml:space="preserve">NPMT-I242</t>
  </si>
  <si>
    <t xml:space="preserve">Falasca M, Logan SK, Lehto VP, Baccante G, Lemmon MA, Schlessinger J. Activation of phospholipase C gamma by PI 3-kinase-induced PH domain-mediated membrane targeting. EMBO J. 1998 Jan 15;17(2):414-22. doi: 10.1093/emboj/17.2.414. PMID: 9430633; PMCID: PMC1170392.</t>
  </si>
  <si>
    <t xml:space="preserve">10.1093/emboj/17.2.414</t>
  </si>
  <si>
    <t xml:space="preserve">9430633</t>
  </si>
  <si>
    <t xml:space="preserve">NPMT-I243</t>
  </si>
  <si>
    <t xml:space="preserve">NPMT-I244</t>
  </si>
  <si>
    <t xml:space="preserve">Monkey</t>
  </si>
  <si>
    <t xml:space="preserve">Chen JS, Exton JH. Regulation of phospholipase D2 activity by protein kinase C alpha. J Biol Chem. 2004 May 21;279(21):22076-83. doi: 10.1074/jbc.M311033200. Epub 2004 Mar 18. PMID: 15031293.</t>
  </si>
  <si>
    <t xml:space="preserve">10.1074/jbc.m311033200</t>
  </si>
  <si>
    <t xml:space="preserve">15031293</t>
  </si>
  <si>
    <t xml:space="preserve">NPMT-I245</t>
  </si>
  <si>
    <t xml:space="preserve">NPMT-I246</t>
  </si>
  <si>
    <t xml:space="preserve">Mammalian cell PLD isoform model</t>
  </si>
  <si>
    <t xml:space="preserve">Hiroyama M, Exton JH. Localization and regulation of phospholipase D2 by ARF6. J Cell Biochem. 2005;95(1):149-164. doi: 10.1002/jcb.20351. PMID: 15759270.</t>
  </si>
  <si>
    <t xml:space="preserve">10.1002/jcb.20351</t>
  </si>
  <si>
    <t xml:space="preserve">15759270</t>
  </si>
  <si>
    <t xml:space="preserve">Supported in other cells — Activated Rac1 stimulates phospholipase D isozymes including PLD2; E compartment untested</t>
  </si>
  <si>
    <t xml:space="preserve">NPMT-I247</t>
  </si>
  <si>
    <t xml:space="preserve">Supported in other cells — Activated Rac1 stimulates phospholipase D isozymes including PLD2; M compartment untested</t>
  </si>
  <si>
    <t xml:space="preserve">NPMT-I248</t>
  </si>
  <si>
    <t xml:space="preserve">Tsukahara T, Tsukahara R, Fujiwara Y, Yue J, Cheng Y, Guo H, Bolen A, Zhang C, Balazs L, Re F, Du G, Frohman MA, Baker DL, Parrill AL, Uchiyama A, Kobayashi T, Murakami-Murofushi K, Tigyi G. Phospholipase D2-dependent inhibition of the nuclear hormone receptor PPARgamma by cyclic phosphatidic acid. Mol Cell. 2010 Aug 13;39(3):421-32. doi: 10.1016/j.molcel.2010.07.022. PMID: 20705243; PMCID: PMC3446787.</t>
  </si>
  <si>
    <t xml:space="preserve">10.1016/j.molcel.2010.07.022</t>
  </si>
  <si>
    <t xml:space="preserve">20705243</t>
  </si>
  <si>
    <t xml:space="preserve">NPMT-I249</t>
  </si>
  <si>
    <t xml:space="preserve">Zhao X, Sun Z, Xu B, Duan W, Chang L, Lai K, Ye Z. Degenerated nucleus pulposus cells derived exosome carrying miR-27a-3p aggravates intervertebral disc degeneration by inducing M1 polarization of macrophages. J Nanobiotechnology. 2023 Sep 4;21(1):317. doi: 10.1186/s12951-023-02075-y. PMID: 37667246; PMCID: PMC10478255.</t>
  </si>
  <si>
    <t xml:space="preserve">10.1186/s12951-023-02075-y</t>
  </si>
  <si>
    <t xml:space="preserve">37667246</t>
  </si>
  <si>
    <t xml:space="preserve">NPMT-I250</t>
  </si>
  <si>
    <t xml:space="preserve">NPMT-I251</t>
  </si>
  <si>
    <t xml:space="preserve">Cho HY, Gladwell W, Wang X, Chorley B, Bell D, Reddy SP, Kleeberger SR. Nrf2-regulated PPAR{gamma} expression is critical to protection against acute lung injury in mice. Am J Respir Crit Care Med. 2010 Jul 15;182(2):170-82. doi: 10.1164/rccm.200907-1047OC. Epub 2010 Mar 11. PMID: 20224069; PMCID: PMC2913232.</t>
  </si>
  <si>
    <t xml:space="preserve">10.1164/rccm.200907-1047oc</t>
  </si>
  <si>
    <t xml:space="preserve">20224069</t>
  </si>
  <si>
    <t xml:space="preserve">NPMT-I252</t>
  </si>
  <si>
    <t xml:space="preserve">François, M., Richette, P., Tsagris, L., Raymondjean, M., Fulchignoni-Lataud, M. C., Forest, C., ... &amp; Corvol, M. T. (2004). Peroxisome proliferator-activated receptor-γ down-regulates chondrocyte matrix metalloproteinase-1 via a novel composite element. Journal of Biological Chemistry, 279(27), 28411-28418.</t>
  </si>
  <si>
    <t xml:space="preserve">NPMT-I253</t>
  </si>
  <si>
    <t xml:space="preserve">Afif, H., Benderdour, M., Mfuna-Endam, L. et al. Peroxisome proliferator-activated receptor γ1 expression is diminished in human osteoarthritic cartilage and is downregulated by interleukin-1β in articular chondrocytes . Arthritis Res Ther 9, R31 (2007). https://doi.org/10.1186/ar2151</t>
  </si>
  <si>
    <t xml:space="preserve">10.1186/ar2151</t>
  </si>
  <si>
    <t xml:space="preserve">NPMT-I254</t>
  </si>
  <si>
    <t xml:space="preserve">Hawse WF, Sheehan RP, Miskov-Zivanov N, Menk AV, Kane LP, Faeder JR, Morel PA. Cutting Edge: Differential Regulation of PTEN by TCR, Akt, and FoxO1 Controls CD4+ T Cell Fate Decisions. J Immunol. 2015 May 15;194(10):4615-9. doi: 10.4049/jimmunol.1402554. Epub 2015 Apr 8. PMID: 25855357; PMCID: PMC4418530.</t>
  </si>
  <si>
    <t xml:space="preserve">10.4049/jimmunol.1402554</t>
  </si>
  <si>
    <t xml:space="preserve">25855357</t>
  </si>
  <si>
    <t xml:space="preserve">NPMT-I255</t>
  </si>
  <si>
    <t xml:space="preserve">Human macrophages; Caco2; MCF7</t>
  </si>
  <si>
    <t xml:space="preserve">Patel L, Pass I, Coxon P, Downes CP, Smith SA, Macphee CH. Tumor suppressor and anti-inflammatory actions of PPARgamma agonists are mediated via upregulation of PTEN. Curr Biol. 2001;11(10):764-768. doi: 10.1016/S0960-9822(01)00225-1. PMID: 11378386.</t>
  </si>
  <si>
    <t xml:space="preserve">10.1016/s0960-9822(01)00225-1</t>
  </si>
  <si>
    <t xml:space="preserve">11378386</t>
  </si>
  <si>
    <t xml:space="preserve">Supported in other cells — PPARγ ligand-mediated PTEN induction; no NP/chondrocyte demonstration</t>
  </si>
  <si>
    <t xml:space="preserve">NPMT-I256</t>
  </si>
  <si>
    <t xml:space="preserve">Chae HD, Broxmeyer HE. SIRT1 deficiency downregulates PTEN/JNK/FOXO1 pathway to block reactive oxygen species-induced apoptosis in mouse embryonic stem cells. Stem Cells Dev. 2011 Jul;20(7):1277-85. doi: 10.1089/scd.2010.0465. Epub 2011 Jan 3. PMID: 21083429; PMCID: PMC3121936.</t>
  </si>
  <si>
    <t xml:space="preserve">10.1089/scd.2010.0465</t>
  </si>
  <si>
    <t xml:space="preserve">21083429</t>
  </si>
  <si>
    <t xml:space="preserve">NPMT-I257</t>
  </si>
  <si>
    <t xml:space="preserve">Chang F, Lemmon CA, Park D, Romer LH. FAK potentiates Rac1 activation and localization to matrix adhesion sites: a role for betaPIX. Mol Biol Cell. 2007 Jan;18(1):253-64. doi: 10.1091/mbc.e06-03-0207. Epub 2006 Nov 8. PMID: 17093062; PMCID: PMC1751318.</t>
  </si>
  <si>
    <t xml:space="preserve">10.1091/mbc.e06-03-0207</t>
  </si>
  <si>
    <t xml:space="preserve">17093062</t>
  </si>
  <si>
    <t xml:space="preserve">NPMT-I258</t>
  </si>
  <si>
    <t xml:space="preserve">MDA-MB-435 cells</t>
  </si>
  <si>
    <t xml:space="preserve">Paradiso A, Cardone RA, Bellizzi A, et al. The Na+-H+ exchanger-1 induces cytoskeletal changes involving reciprocal RhoA and Rac1 signaling, resulting in motility and invasion in MDA-MB-435 cells. Breast Cancer Res. 2004;6(6):R616-R628. doi: 10.1186/bcr922. PMID: 15535843.
[Evidence caveat: Reciprocal RhoA-RAC1 signaling; specific E→M inhibition not demonstrated.]</t>
  </si>
  <si>
    <t xml:space="preserve">10.1186/bcr922</t>
  </si>
  <si>
    <t xml:space="preserve">15535843</t>
  </si>
  <si>
    <t xml:space="preserve">contextual / conflicting, NOT sign-validated — Reciprocal RhoA-RAC1 signaling; specific E→M inhibition not demonstrated.</t>
  </si>
  <si>
    <t xml:space="preserve">NPMT-I259</t>
  </si>
  <si>
    <t xml:space="preserve">NPMT-I260</t>
  </si>
  <si>
    <t xml:space="preserve">RhoA-M</t>
  </si>
  <si>
    <t xml:space="preserve">Paradiso A, Cardone RA, Bellizzi A, et al. The Na+-H+ exchanger-1 induces cytoskeletal changes involving reciprocal RhoA and Rac1 signaling, resulting in motility and invasion in MDA-MB-435 cells. Breast Cancer Res. 2004;6(6):R616-R628. doi: 10.1186/bcr922. PMID: 15535843.
[Evidence caveat: Reciprocal RhoA-RAC1 signaling; specific M→E inhibition not demonstrated.]</t>
  </si>
  <si>
    <t xml:space="preserve">contextual / conflicting, NOT sign-validated — Reciprocal RhoA-RAC1 signaling; specific M→E inhibition not demonstrated.</t>
  </si>
  <si>
    <t xml:space="preserve">NPMT-I261</t>
  </si>
  <si>
    <t xml:space="preserve">RAS-E</t>
  </si>
  <si>
    <t xml:space="preserve">NPMT-I262</t>
  </si>
  <si>
    <t xml:space="preserve">RAS-M</t>
  </si>
  <si>
    <t xml:space="preserve">NPMT-I263</t>
  </si>
  <si>
    <t xml:space="preserve">Schlaepfer, D., Hanks, S., Hunter, T. et al. Integrin-mediated signal transduction linked to Ras pathway by GRB2 binding to focal adhesion kinase. Nature 372, 786–791 (1994). https://doi.org/10.1038/372786a0</t>
  </si>
  <si>
    <t xml:space="preserve">10.1038/372786a0</t>
  </si>
  <si>
    <t xml:space="preserve">NPMT-I264</t>
  </si>
  <si>
    <t xml:space="preserve">NPMT-I265</t>
  </si>
  <si>
    <t xml:space="preserve">Lin, X., Liu, H., Qiao, L., Deng, H., Bao, M., Yang, Z., ... &amp; Han, J. (2024). Chondrocyte autophagy mediated by T-2 toxin via AKT/TSC/Rheb/mTOR signaling pathway and protective effect of CSA-SeNP. Osteoarthritis and cartilage, 32(10), 1283-1294.</t>
  </si>
  <si>
    <t xml:space="preserve">NPMT-I266</t>
  </si>
  <si>
    <t xml:space="preserve">NPMT-I267</t>
  </si>
  <si>
    <t xml:space="preserve">NPMT-I268</t>
  </si>
  <si>
    <t xml:space="preserve">Lv, S., Wang, X., Jin, S., Shen, S., Wang, R., &amp; Tong, P. (2022). Quercetin mediates TSC2-RHEB-mTOR pathway to regulate chondrocytes autophagy in knee osteoarthritis. Gene, 820, 146209.</t>
  </si>
  <si>
    <t xml:space="preserve">NPMT-I269</t>
  </si>
  <si>
    <t xml:space="preserve">Inoki K, Ouyang H, Zhu T, Lindvall C, Wang Y, Zhang X, Yang Q, Bennett C, Harada Y, Stankunas K, Wang CY, He X, MacDougald OA, You M, Williams BO, Guan KL. TSC2 integrates Wnt and energy signals via a coordinated phosphorylation by AMPK and GSK3 to regulate cell growth. Cell. 2006 Sep 8;126(5):955-68. doi: 10.1016/j.cell.2006.06.055. PMID: 16959574.</t>
  </si>
  <si>
    <t xml:space="preserve">10.1016/j.cell.2006.06.055</t>
  </si>
  <si>
    <t xml:space="preserve">16959574</t>
  </si>
  <si>
    <t xml:space="preserve">NPMT-I270</t>
  </si>
  <si>
    <t xml:space="preserve">Tomar A, Schlaepfer DD. Focal adhesion kinase: switching between GAPs and GEFs in the regulation of cell motility. Curr Opin Cell Biol. 2009 Oct;21(5):676-83. doi: 10.1016/j.ceb.2009.05.006. Epub 2009 Jun 12. PMID: 19525103; PMCID: PMC2754589.</t>
  </si>
  <si>
    <t xml:space="preserve">10.1016/j.ceb.2009.05.006</t>
  </si>
  <si>
    <t xml:space="preserve">19525103</t>
  </si>
  <si>
    <t xml:space="preserve">NPMT-I271</t>
  </si>
  <si>
    <t xml:space="preserve">NPMT-I272</t>
  </si>
  <si>
    <t xml:space="preserve">Ding, SL., Zhang, TW., Zhang, QC. et al. Excessive mechanical strain accelerates intervertebral disc degeneration by disrupting intrinsic circadian rhythm. Exp Mol Med 53, 1911–1923 (2021). https://doi.org/10.1038/s12276-021-00716-6</t>
  </si>
  <si>
    <t xml:space="preserve">10.1038/s12276-021-00716-6</t>
  </si>
  <si>
    <t xml:space="preserve">NPMT-I273</t>
  </si>
  <si>
    <t xml:space="preserve">NPMT-I274</t>
  </si>
  <si>
    <t xml:space="preserve">Adam-Vizi V, Starkov AA. Calcium and mitochondrial reactive oxygen species generation: how to read the facts. J Alzheimers Dis. 2010;20 Suppl 2(Suppl 2):S413-26. doi: 10.3233/JAD-2010-100465. PMID: 20421693; PMCID: PMC3056350.</t>
  </si>
  <si>
    <t xml:space="preserve">10.3233/jad-2010-100465</t>
  </si>
  <si>
    <t xml:space="preserve">20421693</t>
  </si>
  <si>
    <t xml:space="preserve">NPMT-I275</t>
  </si>
  <si>
    <t xml:space="preserve">In vitro; in vivo corroboration</t>
  </si>
  <si>
    <t xml:space="preserve">Li P, Que Y, Zhang S, Zhang G, Tang R, Jia H, Zhao Y, Liu H, Wang Y, Liu Y. Inhibition of ETS1/DRP1 axis attenuates intervertebral disc degeneration by suppressing excessive mitochondrial fission. Cell Signal. 2026;148:112769. Published online July 29, 2026. doi: 10.1016/j.cellsig.2026.112769. PMID: 42526698.</t>
  </si>
  <si>
    <t xml:space="preserve">10.1016/j.cellsig.2026.112769</t>
  </si>
  <si>
    <t xml:space="preserve">42526698</t>
  </si>
  <si>
    <t xml:space="preserve">Supported in NP — DRP1 upregulation / mitochondrial fission promotes ROS accumulation</t>
  </si>
  <si>
    <t xml:space="preserve">NPMT-I276</t>
  </si>
  <si>
    <t xml:space="preserve">Tlili A, Pintard C, Hurtado-Nedelec M, Liu D, Marzaioli V, Thieblemont N, Dang PM, El-Benna J. ROCK2 interacts with p22phox to phosphorylate p47phox and to control NADPH oxidase activation in human monocytes. Proc Natl Acad Sci U S A. 2023 Jan 17;120(3):e2209184120. doi: 10.1073/pnas.2209184120. Epub 2023 Jan 10. PMID: 36626553; PMCID: PMC9934299.</t>
  </si>
  <si>
    <t xml:space="preserve">10.1073/pnas.2209184120</t>
  </si>
  <si>
    <t xml:space="preserve">36626553</t>
  </si>
  <si>
    <t xml:space="preserve">NPMT-I277</t>
  </si>
  <si>
    <t xml:space="preserve">SOD1</t>
  </si>
  <si>
    <t xml:space="preserve">Rat NP cells and disc model</t>
  </si>
  <si>
    <t xml:space="preserve">In vitro and in vivo</t>
  </si>
  <si>
    <t xml:space="preserve">Zhou T, Yang X, Chen Z, Yang Y, Wang X, Cao X, Chen C, Han C, Tian H, Qin A, Fu J, Zhao J. Prussian Blue Nanoparticles Stabilize SOD1 from Ubiquitination-Proteasome Degradation to Rescue Intervertebral Disc Degeneration. Adv Sci (Weinh). 2022;9(10):e2105466. doi: 10.1002/advs.202105466. PMID: 35128840.</t>
  </si>
  <si>
    <t xml:space="preserve">10.1002/advs.202105466</t>
  </si>
  <si>
    <t xml:space="preserve">35128840</t>
  </si>
  <si>
    <t xml:space="preserve">Supported in NP — Stabilization of SOD1 improves ROS detoxification and attenuates oxidative injury</t>
  </si>
  <si>
    <t xml:space="preserve">NPMT-I278</t>
  </si>
  <si>
    <t xml:space="preserve">Lin L, White SA, Hu K. Role of p90RSK in Kidney and Other Diseases. Int J Mol Sci. 2019 Feb 23;20(4):972. doi: 10.3390/ijms20040972. PMID: 30813401; PMCID: PMC6412535.</t>
  </si>
  <si>
    <t xml:space="preserve">10.3390/ijms20040972</t>
  </si>
  <si>
    <t xml:space="preserve">30813401</t>
  </si>
  <si>
    <t xml:space="preserve">NPMT-I279</t>
  </si>
  <si>
    <t xml:space="preserve">Pérez‐García, Selene, et al. "Wnt and RUNX2 mediate cartilage breakdown by osteoarthritis synovial fibroblast‐derived ADAMTS‐7 and‐12." Journal of cellular and molecular medicine 23.6 (2019): 3974-3983.</t>
  </si>
  <si>
    <t xml:space="preserve">NPMT-I280</t>
  </si>
  <si>
    <t xml:space="preserve">Ge C, Yang Q, Zhao G, Yu H, Kirkwood KL, Franceschi RT. Interactions between extracellular signal-regulated kinase 1/2 and p38 MAP kinase pathways in the control of RUNX2 phosphorylation and transcriptional activity. J Bone Miner Res. 2012 Mar;27(3):538-51. doi: 10.1002/jbmr.561. Erratum in: J Bone Miner Res. 2021 Oct;36(10):2096-2097. doi: 10.1002/jbmr.4300. PMID: 22072425; PMCID: PMC4285380.</t>
  </si>
  <si>
    <t xml:space="preserve">10.1002/jbmr.561; 10.1002/jbmr.4300</t>
  </si>
  <si>
    <t xml:space="preserve">22072425</t>
  </si>
  <si>
    <t xml:space="preserve">NPMT-I281</t>
  </si>
  <si>
    <t xml:space="preserve">NPMT-I282</t>
  </si>
  <si>
    <t xml:space="preserve">Cheng A, Genever PG. SOX9 determines RUNX2 transactivity by directing intracellular degradation. J Bone Miner Res. 2010 Dec;25(12):2680-9. doi: 10.1002/jbmr.174. Epub 2010 Jun 30. Erratum in: J Bone Miner Res. 2011 Feb;26(2):439. PMID: 20593410.</t>
  </si>
  <si>
    <t xml:space="preserve">10.1002/jbmr.174</t>
  </si>
  <si>
    <t xml:space="preserve">20593410</t>
  </si>
  <si>
    <t xml:space="preserve">NPMT-I283</t>
  </si>
  <si>
    <t xml:space="preserve">NAD+</t>
  </si>
  <si>
    <t xml:space="preserve">Shi Q, Xu L, Zeng X. Sirtuin 1 participates in intervertebral disc degeneration via the nicotinamide phosphoribosyl transferase/nicotinamide adenine dinucleotide/sirtuin 1 pathway responsible for regulating autophagy of nucleus pulposus cells. Exp Ther Med. 2022 Apr;23(4):267. doi: 10.3892/etm.2022.11193. Epub 2022 Feb 8. PMID: 35251333; PMCID: PMC8892612.</t>
  </si>
  <si>
    <t xml:space="preserve">10.3892/etm.2022.11193</t>
  </si>
  <si>
    <t xml:space="preserve">35251333</t>
  </si>
  <si>
    <t xml:space="preserve">NPMT-I284</t>
  </si>
  <si>
    <t xml:space="preserve">SMIT1</t>
  </si>
  <si>
    <t xml:space="preserve">NPMT-I285</t>
  </si>
  <si>
    <t xml:space="preserve">NPMT-I286</t>
  </si>
  <si>
    <t xml:space="preserve">SOD2</t>
  </si>
  <si>
    <t xml:space="preserve">human/mouse</t>
  </si>
  <si>
    <t xml:space="preserve">Alvarez-Garcia O, Matsuzaki T, Olmer M, Masuda K, Lotz MK. Age-related reduction in the expression of FOXO transcription factors and correlations with intervertebral disc degeneration. J Orthop Res. 2017 Dec;35(12):2682-2691. doi: 10.1002/jor.23583. Epub 2017 May 4. PMID: 28430387; PMCID: PMC5650945.</t>
  </si>
  <si>
    <t xml:space="preserve">10.1002/jor.23583</t>
  </si>
  <si>
    <t xml:space="preserve">28430387</t>
  </si>
  <si>
    <t xml:space="preserve">NPMT-I287</t>
  </si>
  <si>
    <t xml:space="preserve">NPMT-I288</t>
  </si>
  <si>
    <t xml:space="preserve">Smits P, Dy P, Mitra S, Lefebvre V. Sox5 and Sox6 are needed to develop and maintain source, columnar, and hypertrophic chondrocytes in the cartilage growth plate. J Cell Biol. 2004 Mar 1;164(5):747-58. doi: 10.1083/jcb.200312045. PMID: 14993235; PMCID: PMC2172159.</t>
  </si>
  <si>
    <t xml:space="preserve">10.1083/jcb.200312045</t>
  </si>
  <si>
    <t xml:space="preserve">14993235</t>
  </si>
  <si>
    <t xml:space="preserve">NPMT-I289</t>
  </si>
  <si>
    <t xml:space="preserve">NPMT-I290</t>
  </si>
  <si>
    <t xml:space="preserve">NPMT-I291</t>
  </si>
  <si>
    <t xml:space="preserve">Chondroprogenitor</t>
  </si>
  <si>
    <t xml:space="preserve">Chicken</t>
  </si>
  <si>
    <t xml:space="preserve">Juhász T, Matta C, Somogyi C, Katona É, Takács R, Soha RF, Szabó IA, Cserháti C, Sződy R, Karácsonyi Z, Bakó E, Gergely P, Zákány R. Mechanical loading stimulates chondrogenesis via the PKA/CREB-Sox9 and PP2A pathways in chicken micromass cultures. Cell Signal. 2014 Mar;26(3):468-82. doi: 10.1016/j.cellsig.2013.12.001. Epub 2013 Dec 12. PMID: 24333667.</t>
  </si>
  <si>
    <t xml:space="preserve">10.1016/j.cellsig.2013.12.001</t>
  </si>
  <si>
    <t xml:space="preserve">24333667</t>
  </si>
  <si>
    <t xml:space="preserve">NPMT-I292</t>
  </si>
  <si>
    <t xml:space="preserve">Kim JW, An HJ, Yeo H, Jeong Y, Lee H, Lee J, Nam K, Lee J, Shin DE, Lee S. Activation of Hypoxia-Inducible Factor-1α Signaling Pathway Has the Protective Effect of Intervertebral Disc Degeneration. Int J Mol Sci. 2021 Oct 21;22(21):11355. doi: 10.3390/ijms222111355. PMID: 34768786; PMCID: PMC8583205.</t>
  </si>
  <si>
    <t xml:space="preserve">10.3390/ijms222111355</t>
  </si>
  <si>
    <t xml:space="preserve">34768786</t>
  </si>
  <si>
    <t xml:space="preserve">NPMT-I293</t>
  </si>
  <si>
    <t xml:space="preserve">Haudenschild DR, Chen J, Pang N, Lotz MK, D'Lima DD. Rho kinase-dependent activation of SOX9 in chondrocytes. Arthritis Rheum. 2010 Jan;62(1):191-200. doi: 10.1002/art.25051. PMID: 20039424; PMCID: PMC2935318.</t>
  </si>
  <si>
    <t xml:space="preserve">10.1002/art.25051</t>
  </si>
  <si>
    <t xml:space="preserve">20039424</t>
  </si>
  <si>
    <t xml:space="preserve">NPMT-I294</t>
  </si>
  <si>
    <t xml:space="preserve">NPMT-I295</t>
  </si>
  <si>
    <t xml:space="preserve">Kang L., Yang C., Song Y., Zhao K., Liu W., Hua W., Wang K., Tu J., Li S., Yin H., Zhang Y. MicroRNA-494 promotes apoptosis and extracellular matrix degradation in degenerative human nucleus pulposus cells. Oncotarget. 2017; 8: 27868-27881. Retrieved from https://www.oncotarget.com/article/15838/</t>
  </si>
  <si>
    <t xml:space="preserve">NPMT-I296</t>
  </si>
  <si>
    <t xml:space="preserve">Bradley EW, Drissi MH. WNT5A regulates chondrocyte differentiation through differential use of the CaN/NFAT and IKK/NF-kappaB pathways. Mol Endocrinol. 2010 Aug;24(8):1581-93. doi: 10.1210/me.2010-0037. Epub 2010 Jun 23. PMID: 20573686; PMCID: PMC5417459.</t>
  </si>
  <si>
    <t xml:space="preserve">10.1210/me.2010-0037</t>
  </si>
  <si>
    <t xml:space="preserve">20573686</t>
  </si>
  <si>
    <t xml:space="preserve">NPMT-I297</t>
  </si>
  <si>
    <t xml:space="preserve">Tew SR, Hardingham TE. Regulation of SOX9 mRNA in human articular chondrocytes involving p38 MAPK activation and mRNA stabilization. J Biol Chem. 2006 Dec 22;281(51):39471-9. doi: 10.1074/jbc.M604322200. Epub 2006 Oct 18. PMID: 17050539.</t>
  </si>
  <si>
    <t xml:space="preserve">10.1074/jbc.m604322200</t>
  </si>
  <si>
    <t xml:space="preserve">17050539</t>
  </si>
  <si>
    <t xml:space="preserve">NPMT-I298</t>
  </si>
  <si>
    <t xml:space="preserve">Ishitani T, Kishida S, Hyodo-Miura J, Ueno N, Yasuda J, Waterman M, Shibuya H, Moon RT, Ninomiya-Tsuji J, Matsumoto K. The TAK1-NLK mitogen-activated protein kinase cascade functions in the Wnt-5a/Ca(2+) pathway to antagonize Wnt/beta-catenin signaling. Mol Cell Biol. 2003 Jan;23(1):131-9. doi: 10.1128/MCB.23.1.131-139.2003. PMID: 12482967; PMCID: PMC140665.</t>
  </si>
  <si>
    <t xml:space="preserve">10.1128/mcb.23.1.131-139.2003</t>
  </si>
  <si>
    <t xml:space="preserve">12482967</t>
  </si>
  <si>
    <t xml:space="preserve">NPMT-I299</t>
  </si>
  <si>
    <t xml:space="preserve">synovial fibroblast</t>
  </si>
  <si>
    <t xml:space="preserve">calves</t>
  </si>
  <si>
    <t xml:space="preserve">Onodera Y, Teramura T, Takehara T, Shigi K, Fukuda K. Reactive oxygen species induce Cox-2 expression via TAK1 activation in synovial fibroblast cells. FEBS Open Bio. 2015 Jun 6;5:492-501. doi: 10.1016/j.fob.2015.06.001. PMID: 26110105; PMCID: PMC4476901.</t>
  </si>
  <si>
    <t xml:space="preserve">10.1016/j.fob.2015.06.001</t>
  </si>
  <si>
    <t xml:space="preserve">26110105</t>
  </si>
  <si>
    <t xml:space="preserve">NPMT-I300</t>
  </si>
  <si>
    <t xml:space="preserve">TAUT</t>
  </si>
  <si>
    <t xml:space="preserve">NPMT-I301</t>
  </si>
  <si>
    <t xml:space="preserve">TGFβ</t>
  </si>
  <si>
    <t xml:space="preserve">Oh CD, Im HJ, Suh J, Chee A, An H, Chen D. Rho-Associated Kinase Inhibitor Immortalizes Rat Nucleus Pulposus and Annulus Fibrosus Cells: Establishment of Intervertebral Disc Cell Lines With Novel Approaches. Spine (Phila Pa 1976). 2016 Mar;41(5):E255-61. doi: 10.1097/BRS.0000000000001235. PMID: 26693672; PMCID: PMC4769661.</t>
  </si>
  <si>
    <t xml:space="preserve">10.1097/brs.0000000000001235</t>
  </si>
  <si>
    <t xml:space="preserve">26693672</t>
  </si>
  <si>
    <t xml:space="preserve">NPMT-I302</t>
  </si>
  <si>
    <t xml:space="preserve">NPMT-I303</t>
  </si>
  <si>
    <t xml:space="preserve">Sarrazy V, Koehler A, Chow ML, Zimina E, Li CX, Kato H, Caldarone CA, Hinz B. Integrins αvβ5 and αvβ3 promote latent TGF-β1 activation by human cardiac fibroblast contraction. Cardiovasc Res. 2014 Jun 1;102(3):407-17. doi: 10.1093/cvr/cvu053. Epub 2014 Mar 17. PMID: 24639195; PMCID: PMC4030512.</t>
  </si>
  <si>
    <t xml:space="preserve">10.1093/cvr/cvu053</t>
  </si>
  <si>
    <t xml:space="preserve">24639195</t>
  </si>
  <si>
    <t xml:space="preserve">NPMT-I304</t>
  </si>
  <si>
    <t xml:space="preserve">TIMP3</t>
  </si>
  <si>
    <t xml:space="preserve">Yu H, Fellows A, et al. FOXO3a (Forkhead Transcription Factor O Subfamily Member 3a) Links Vascular Smooth Muscle Cell Apoptosis, Matrix Breakdown, Atherosclerosis, and Vascular Remodeling Through a Novel Pathway Involving MMP13 (Matrix Metalloproteinase 13). Arterioscler Thromb Vasc Biol. 2018;38(3):555-565. doi: 10.1161/ATVBAHA.117.310502.</t>
  </si>
  <si>
    <t xml:space="preserve">10.1161/atvbaha.117.310502</t>
  </si>
  <si>
    <t xml:space="preserve">Opposite direction — FOXO3a activation downregulated TIMP3 (reported ~27-fold): contradicts network positive sign.</t>
  </si>
  <si>
    <t xml:space="preserve">NPMT-I305</t>
  </si>
  <si>
    <t xml:space="preserve">Sabatini M, Bardiot A, Lesur C, Moulharat N, Thomas M, Richard I, Fradin A. Effects of agonists of peroxisome proliferator-activated receptor gamma on proteoglycan degradation and matrix metalloproteinase production in rat cartilage in vitro. Osteoarthritis Cartilage. 2002 Sep;10(9):673-9. doi: 10.1053/joca.2002.0827. PMID: 12202119.</t>
  </si>
  <si>
    <t xml:space="preserve">10.1053/joca.2002.0827</t>
  </si>
  <si>
    <t xml:space="preserve">12202119</t>
  </si>
  <si>
    <t xml:space="preserve">NPMT-I306</t>
  </si>
  <si>
    <t xml:space="preserve">Bovine</t>
  </si>
  <si>
    <t xml:space="preserve">Yan, D., Chen, D., Hawse, J. R., van Wijnen, A. J., &amp; Im, H. J. (2013). Bovine lactoferricin induces TIMP-3 via the ERK1/2-Sp1 axis in human articular chondrocytes. Gene, 517(1), 12-18.</t>
  </si>
  <si>
    <t xml:space="preserve">NPMT-I307</t>
  </si>
  <si>
    <t xml:space="preserve">Guinea-Viniegra J, Zenz R, Scheuch H, et al. TNFalpha shedding and epidermal inflammation are controlled by Jun proteins. Genes Dev. 2009;23(22):2663-2674. doi: 10.1101/gad.543109. PMID: 19933155.</t>
  </si>
  <si>
    <t xml:space="preserve">10.1101/gad.543109</t>
  </si>
  <si>
    <t xml:space="preserve">19933155</t>
  </si>
  <si>
    <t xml:space="preserve">Opposite direction — JunB and c-Jun directly activate TIMP3 transcription; contradicts network inhibitory sign.</t>
  </si>
  <si>
    <t xml:space="preserve">NPMT-I308</t>
  </si>
  <si>
    <t xml:space="preserve">TNF</t>
  </si>
  <si>
    <t xml:space="preserve">NPMT-I309</t>
  </si>
  <si>
    <t xml:space="preserve">NPMT-I310</t>
  </si>
  <si>
    <t xml:space="preserve">Zhang M, Lu Q, Egan B, Zhong XB, Brandt K, Wang J. Epigenetically mediated spontaneous reduction of NFAT1 expression causes imbalanced metabolic activities of articular chondrocytes in aged mice. Osteoarthritis Cartilage. 2016 Jul;24(7):1274-83. doi: 10.1016/j.joca.2016.02.003. Epub 2016 Feb 20. PMID: 26903200; PMCID: PMC4907852.</t>
  </si>
  <si>
    <t xml:space="preserve">10.1016/j.joca.2016.02.003</t>
  </si>
  <si>
    <t xml:space="preserve">26903200</t>
  </si>
  <si>
    <t xml:space="preserve">NPMT-I311</t>
  </si>
  <si>
    <t xml:space="preserve">NPMT-I312</t>
  </si>
  <si>
    <t xml:space="preserve">NPMT-I313</t>
  </si>
  <si>
    <t xml:space="preserve">NPMT-I314</t>
  </si>
  <si>
    <t xml:space="preserve">Zhou X, Wang H, Burg MB, Ferraris JD. Inhibitory phosphorylation of GSK-3β by AKT, PKA, and PI3K contributes to high NaCl-induced activation of the transcription factor NFAT5 (TonEBP/OREBP). Am J Physiol Renal Physiol. 2013 Apr 1;304(7):F908-17. doi: 10.1152/ajprenal.00591.2012. Epub 2013 Jan 16. PMID: 23324178; PMCID: PMC3625851.</t>
  </si>
  <si>
    <t xml:space="preserve">10.1152/ajprenal.00591.2012</t>
  </si>
  <si>
    <t xml:space="preserve">23324178</t>
  </si>
  <si>
    <t xml:space="preserve">NPMT-I315</t>
  </si>
  <si>
    <t xml:space="preserve">NL</t>
  </si>
  <si>
    <t xml:space="preserve">porcine</t>
  </si>
  <si>
    <t xml:space="preserve">O'Conor CJ, Leddy HA, Benefield HC, Liedtke WB, Guilak F. TRPV4-mediated mechanotransduction regulates the metabolic response of chondrocytes to dynamic loading. Proc Natl Acad Sci U S A. 2014 Jan 28;111(4):1316-21. doi: 10.1073/pnas.1319569111. Epub 2014 Jan 13. PMID: 24474754; PMCID: PMC3910592.</t>
  </si>
  <si>
    <t xml:space="preserve">10.1073/pnas.1319569111</t>
  </si>
  <si>
    <t xml:space="preserve">24474754</t>
  </si>
  <si>
    <t xml:space="preserve">NPMT-I316</t>
  </si>
  <si>
    <t xml:space="preserve">ULK1</t>
  </si>
  <si>
    <t xml:space="preserve">Lv, S., Wang, X., Jin, S., Shen, S., Wang, R., &amp; Tong, P. (2022). Quercetin mediates TSC2-RHEB-mTOR pathway to regulate chondrocytes autophagy in knee osteoarthritis. Gene, 820, 146209.                                                                                                                                                                                                                                    Ansari MY, Ahmad N, Haqqi TM. Butein activation Autophagy Through AMPK/TSC2/ULK1/mTOR Pathway to Inhibit IL-6 Expression in IL-1β Stimulated Human Chondrocytes. Cell Physiol Biochem. 2018;49(3):932-946. doi: 10.1159/000493225. Epub 2018 Sep 5. PMID: 30184535.</t>
  </si>
  <si>
    <t xml:space="preserve">NPMT-I317</t>
  </si>
  <si>
    <t xml:space="preserve">Hosokawa N, Hara T, Kaizuka T, Kishi C, Takamura A, Miura Y, Iemura S, Natsume T, Takehana K, Yamada N, Guan JL, Oshiro N, Mizushima N. Nutrient-dependent mTORC1 association with the ULK1-Atg13-FIP200 complex required for autophagy. Mol Biol Cell. 2009 Apr;20(7):1981-91. doi: 10.1091/mbc.e08-12-1248. Epub 2009 Feb 11. PMID: 19211835; PMCID: PMC2663915.</t>
  </si>
  <si>
    <t xml:space="preserve">10.1091/mbc.e08-12-1248</t>
  </si>
  <si>
    <t xml:space="preserve">19211835</t>
  </si>
  <si>
    <t xml:space="preserve">NPMT-I318</t>
  </si>
  <si>
    <t xml:space="preserve">VEGF</t>
  </si>
  <si>
    <t xml:space="preserve">NPMT-I319</t>
  </si>
  <si>
    <t xml:space="preserve">NPMT-I320</t>
  </si>
  <si>
    <t xml:space="preserve">Binch AL, Cole AA, Breakwell LM, Michael AL, Chiverton N, Cross AK, Le Maitre CL. Expression and regulation of neurotrophic and angiogenic factors during human intervertebral disc degeneration. Arthritis Res Ther. 2014 Aug 20;16(5):416. doi: 10.1186/s13075-014-0416-1. PMID: 25209447; PMCID: PMC4177417.</t>
  </si>
  <si>
    <t xml:space="preserve">10.1186/s13075-014-0416-1</t>
  </si>
  <si>
    <t xml:space="preserve">25209447</t>
  </si>
  <si>
    <t xml:space="preserve">NPMT-I321</t>
  </si>
  <si>
    <t xml:space="preserve">Song D, Li LS, Heaton-Johnson KJ, Arsenault PR, Master SR, Lee FS. Prolyl hydroxylase domain protein 2 (PHD2) binds a Pro-Xaa-Leu-Glu motif, linking it to the heat shock protein 90 pathway. J Biol Chem. 2013 Apr 5;288(14):9662-9674. doi: 10.1074/jbc.M112.440552. Epub 2013 Feb 14. PMID: 23413029; PMCID: PMC3617269.</t>
  </si>
  <si>
    <t xml:space="preserve">10.1074/jbc.m112.440552</t>
  </si>
  <si>
    <t xml:space="preserve">23413029</t>
  </si>
  <si>
    <t xml:space="preserve">NPMT-I322</t>
  </si>
  <si>
    <t xml:space="preserve">Averill-Bates D. Reactive oxygen species and cell signaling. Review. Biochim Biophys Acta Mol Cell Res. 2024 Feb;1871(2):119573. doi: 10.1016/j.bbamcr.2023.119573. Epub 2023 Nov 8. PMID: 37949302.</t>
  </si>
  <si>
    <t xml:space="preserve">10.1016/j.bbamcr.2023.119573</t>
  </si>
  <si>
    <t xml:space="preserve">37949302</t>
  </si>
  <si>
    <t xml:space="preserve">NPMT-I323</t>
  </si>
  <si>
    <t xml:space="preserve">Wnt3a</t>
  </si>
  <si>
    <t xml:space="preserve">human/rabbit</t>
  </si>
  <si>
    <t xml:space="preserve">Ge, X. P., Gan, Y. H., Zhang, C. G., Zhou, C. Y., Ma, K. T., Meng, J. H., &amp; Ma, X. C. (2011). Requirement of the NF-κB pathway for induction of Wnt-5A by interleukin-1β in condylar chondrocytes of the temporomandibular joint: functional crosstalk between the Wnt-5A and NF-κB signaling pathways. Osteoarthritis and cartilage, 19(1), 111-117.</t>
  </si>
  <si>
    <t xml:space="preserve">NPMT-I324</t>
  </si>
  <si>
    <t xml:space="preserve">Park HW, Kim YC, Yu B, Moroishi T, Mo JS, Plouffe SW, Meng Z, Lin KC, Yu FX, Alexander CM, Wang CY, Guan KL. Alternative Wnt Signaling activation YAP/TAZ. Cell. 2015 Aug 13;162(4):780-94. doi: 10.1016/j.cell.2015.07.013. PMID: 26276632; PMCID: PMC4538707.</t>
  </si>
  <si>
    <t xml:space="preserve">10.1016/j.cell.2015.07.013</t>
  </si>
  <si>
    <t xml:space="preserve">26276632</t>
  </si>
  <si>
    <t xml:space="preserve">NPMT-I325</t>
  </si>
  <si>
    <t xml:space="preserve">Filali M, Cheng N, Abbott D, Leontiev V, Engelhardt JF. Wnt-3A/beta-catenin signaling induces transcription from the LEF-1 promoter. J Biol Chem. 2002 Sep 6;277(36):33398-410. doi: 10.1074/jbc.M107977200. Epub 2002 Jun 6. PMID: 12052822.</t>
  </si>
  <si>
    <t xml:space="preserve">10.1074/jbc.m107977200</t>
  </si>
  <si>
    <t xml:space="preserve">12052822</t>
  </si>
  <si>
    <t xml:space="preserve">NPMT-I326</t>
  </si>
  <si>
    <t xml:space="preserve">Topol L, Chen W, Song H, Day TF, Yang Y. Sox9 inhibition Wnt signaling by promoting beta-catenin phosphorylation in the nucleus. J Biol Chem. 2009 Jan 30;284(5):3323-3333. doi: 10.1074/jbc.M808048200. Epub 2008 Dec 1. PMID: 19047045; PMCID: PMC2631972.</t>
  </si>
  <si>
    <t xml:space="preserve">10.1074/jbc.m808048200</t>
  </si>
  <si>
    <t xml:space="preserve">19047045</t>
  </si>
  <si>
    <t xml:space="preserve">NPMT-I327</t>
  </si>
  <si>
    <t xml:space="preserve">Wnt5a</t>
  </si>
  <si>
    <t xml:space="preserve">NPMT-I328</t>
  </si>
  <si>
    <t xml:space="preserve">NPMT-I329</t>
  </si>
  <si>
    <t xml:space="preserve">Hoogeboom D, Essers MA, Polderman PE, Voets E, Smits LM, Burgering BM. Interaction of FOXO with beta-catenin inhibition beta-catenin/T cell factor activity. J Biol Chem. 2008 Apr 4;283(14):9224-30. doi: 10.1074/jbc.M706638200. Epub 2008 Feb 4. PMID: 18250171.</t>
  </si>
  <si>
    <t xml:space="preserve">10.1074/jbc.m706638200</t>
  </si>
  <si>
    <t xml:space="preserve">18250171</t>
  </si>
  <si>
    <t xml:space="preserve">NPMT-I330</t>
  </si>
  <si>
    <t xml:space="preserve">Fearing BV, Jing L, Barcellona MN, Witte SE, Buchowski JM, Zebala LP, Kelly MP, Luhmann S, Gupta MC, Pathak A, Setton LA. Mechanosensitive transcriptional coactivators MRTF-A and YAP/TAZ regulate nucleus pulposus cell phenotype through cell shape. FASEB J. 2019 Dec;33(12):14022-14035. doi: 10.1096/fj.201802725RRR. Epub 2019 Oct 22. PMID: 31638828; PMCID: PMC6894097.</t>
  </si>
  <si>
    <t xml:space="preserve">10.1096/fj.201802725rrr</t>
  </si>
  <si>
    <t xml:space="preserve">31638828</t>
  </si>
  <si>
    <t xml:space="preserve">NPMT-I331</t>
  </si>
  <si>
    <t xml:space="preserve">NPMT-I332</t>
  </si>
  <si>
    <t xml:space="preserve">Zhang C, Wang F, Xie Z, Chen L, Sinkemani A, Yu H, Wu X. AMOT130 linking F-actin to YAP is involved in intervertebral disc degeneration. Cell Prolif. 2018 Dec;51(6):e12492. doi: 10.1111/cpr.12492. Epub 2018 Jul 24. PMID: 30039887; PMCID: PMC6528878.</t>
  </si>
  <si>
    <t xml:space="preserve">10.1111/cpr.12492</t>
  </si>
  <si>
    <t xml:space="preserve">30039887</t>
  </si>
  <si>
    <t xml:space="preserve">NPMT-I333</t>
  </si>
  <si>
    <t xml:space="preserve">Kurakawa T, Kakutani K, Morita Y, Kato Y, Yurube T, Hirata H, Miyazaki S, Terashima Y, Maeno K, Takada T, Doita M, Kurosaka M, Inoue N, Masuda K, Nishida K. Functional impact of integrin α5β1 on the homeostasis of intervertebral discs: a study of mechanotransduction pathways using a novel dynamic loading organ culture system. Spine J. 2015 Mar 1;15(3):417-26. doi: 10.1016/j.spinee.2014.12.143. Epub 2014 Dec 27. PMID: 25546513; PMCID: PMC5673479.</t>
  </si>
  <si>
    <t xml:space="preserve">10.1016/j.spinee.2014.12.143</t>
  </si>
  <si>
    <t xml:space="preserve">25546513</t>
  </si>
  <si>
    <t xml:space="preserve">NPMT-I334</t>
  </si>
  <si>
    <t xml:space="preserve">Kaiser R, Friedrich D, Chavakis E, Böhm M, Friedrich EB. Effect of hypoxia on integrin-mediated adhesion of endothelial progenitor cells. J Cell Mol Med. 2012;16(10):2387-2393. doi: 10.1111/j.1582-4934.2012.01553.x. PMID: 22353471.</t>
  </si>
  <si>
    <t xml:space="preserve">10.1111/j.1582-4934.2012.01553.x</t>
  </si>
  <si>
    <t xml:space="preserve">22353471</t>
  </si>
  <si>
    <t xml:space="preserve">Functional support, not expression — Hypoxia reduced adhesion to fibronectin in alpha5/beta1-integrin-dependent cells; no proof alpha5beta1 abundance declines or FN compartment.</t>
  </si>
  <si>
    <t xml:space="preserve">NPMT-I335</t>
  </si>
  <si>
    <t xml:space="preserve">cartilage tissue</t>
  </si>
  <si>
    <t xml:space="preserve">bovine</t>
  </si>
  <si>
    <t xml:space="preserve">Lucchinetti E, Bhargava MM, Torzilli PA. The effect of mechanical load on integrin subunits alpha5 and beta1 in chondrocytes from mature and immature cartilage explants. Cell Tissue Res. 2004 Mar;315(3):385-91. doi: 10.1007/s00441-003-0836-8. Epub 2003 Dec 12. PMID: 14673641.</t>
  </si>
  <si>
    <t xml:space="preserve">10.1007/s00441-003-0836-8</t>
  </si>
  <si>
    <t xml:space="preserve">14673641</t>
  </si>
  <si>
    <t xml:space="preserve">NPMT-I336</t>
  </si>
  <si>
    <t xml:space="preserve">Functional support, not expression — Same reduction in alpha5/beta1-related FN adhesion; F-s subtype not established.</t>
  </si>
  <si>
    <t xml:space="preserve">NPMT-I337</t>
  </si>
  <si>
    <t xml:space="preserve">chondrogenic</t>
  </si>
  <si>
    <t xml:space="preserve">Hirose N, Okamoto Y, Yanoshita M, Asakawa Y, Sumi C, Takano M, Nishiyama S, Su SC, Mitsuyoshi T, Kunimatsu R, Tanne K, Tanimoto K. Protective effects of cilengitide on inflammation in chondrocytes under excessive mechanical stress. Cell Biol Int. 2020 Apr;44(4):966-974. doi: 10.1002/cbin.11293. Epub 2020 Jan 6. PMID: 31876323.</t>
  </si>
  <si>
    <t xml:space="preserve">10.1002/cbin.11293</t>
  </si>
  <si>
    <t xml:space="preserve">31876323</t>
  </si>
  <si>
    <t xml:space="preserve">NPMT-I338</t>
  </si>
  <si>
    <t xml:space="preserve">Cowden Dahl KD, Robertson SE, Weaver VM, Simon MC. Hypoxia-inducible factor regulates alphavbeta3 integrin cell surface expression. Mol Biol Cell. 2005;16(4):1901-1912. doi: 10.1091/mbc.E04-12-1082. PMID: 15689487.</t>
  </si>
  <si>
    <t xml:space="preserve">10.1091/mbc.e04-12-1082</t>
  </si>
  <si>
    <t xml:space="preserve">15689487</t>
  </si>
  <si>
    <t xml:space="preserve">Opposite direction — Hypoxia increased alphaVbeta3 surface expression; contradicts negative sign.</t>
  </si>
  <si>
    <t xml:space="preserve">NPMT-I339</t>
  </si>
  <si>
    <t xml:space="preserve">IVD</t>
  </si>
  <si>
    <t xml:space="preserve">Bian, Q., Ma, L., Jain, A. et al. Mechanosignaling activation of TGFβ maintains intervertebral disc homeostasis. Bone Res 5, 17008 (2017). https://doi.org/10.1038/boneres.2017.8</t>
  </si>
  <si>
    <t xml:space="preserve">10.1038/boneres.2017.8</t>
  </si>
  <si>
    <t xml:space="preserve">NPMT-I340</t>
  </si>
  <si>
    <t xml:space="preserve">Keratinocytes</t>
  </si>
  <si>
    <t xml:space="preserve">Human keratinocytes</t>
  </si>
  <si>
    <t xml:space="preserve">Ridgway PF, Ziprin P, Peck DH, Darzi AW. Hypoxia increases reepithelialization via an alphavbeta6-dependent pathway. Wound Repair Regen. 2005;13(2):158-164. doi: 10.1111/j.1067-1927.2005.130206.x. PMID: 15828940.
[Evidence caveat: CONTRADICTORY: hypoxia INCREASES αVβ6, opposite of network inhibition.]</t>
  </si>
  <si>
    <t xml:space="preserve">10.1111/j.1067-1927.2005.130206.x</t>
  </si>
  <si>
    <t xml:space="preserve">15828940</t>
  </si>
  <si>
    <t xml:space="preserve">contextual / conflicting, NOT sign-validated — CONTRADICTORY: hypoxia INCREASES αVβ6, opposite of network inhibition.</t>
  </si>
  <si>
    <t xml:space="preserve">NPMT-I341</t>
  </si>
  <si>
    <t xml:space="preserve">Yang X, Sun Y, Li X, Zhang W. Rac1 regulates nucleus pulposus cell degeneration by activating the Wnt/β-catenin signaling pathway and promotes the progression of intervertebral disc degeneration. Am J Physiol Cell Physiol. 2022 Mar 1;322(3):C496-C507. doi: 10.1152/ajpcell.00355.2021. Epub 2022 Feb 2. PMID: 35108117.</t>
  </si>
  <si>
    <t xml:space="preserve">10.1152/ajpcell.00355.2021</t>
  </si>
  <si>
    <t xml:space="preserve">35108117</t>
  </si>
  <si>
    <t xml:space="preserve">NPMT-I342</t>
  </si>
  <si>
    <t xml:space="preserve">NPMT-I343</t>
  </si>
  <si>
    <t xml:space="preserve">NPMT-I344</t>
  </si>
  <si>
    <t xml:space="preserve">Hagen T, Vidal-Puig A. Characterisation of the phosphorylation of beta-catenin at the GSK-3 priming site Ser45. Biochem Biophys Res Commun. 2002 Jun 7;294(2):324-8. doi: 10.1016/S0006-291X(02)00485-0. PMID: 12051714.</t>
  </si>
  <si>
    <t xml:space="preserve">10.1016/s0006-291x(02)00485-0</t>
  </si>
  <si>
    <t xml:space="preserve">12051714</t>
  </si>
  <si>
    <t xml:space="preserve">NPMT-I345</t>
  </si>
  <si>
    <t xml:space="preserve">NPMT-I346</t>
  </si>
  <si>
    <t xml:space="preserve">Chen R, Gao S, Guan H, Zhang X, Gao Y, Su Y, Song Y, Jiang Y, Li N. Naringin protects human nucleus pulposus cells against TNF-α-induced inflammation, oxidative stress, and loss of cellular homeostasis by enhancing autophagic flux via AMPK/SIRT1 activation. Oxid Med Cell Longev. 2022 Feb 27;2022:7655142. doi: 10.1155/2022/7655142. PMID: 35265264; PMCID: PMC8898769.</t>
  </si>
  <si>
    <t xml:space="preserve">10.1155/2022/7655142</t>
  </si>
  <si>
    <t xml:space="preserve">35265264</t>
  </si>
  <si>
    <t xml:space="preserve">NPMT-I347</t>
  </si>
  <si>
    <t xml:space="preserve">Vascular endothelial cells</t>
  </si>
  <si>
    <t xml:space="preserve">Nakajo T, Katayoshi T, Kitajima N, Tsuji K. NAD+ overconsumption by poly (ADP-ribose) polymerase (PARP) under oxidative stress induces cytoskeletal disruption in vascular endothelial cell. Biochem Biophys Res Commun. 2024;731:150371. doi: 10.1016/j.bbrc.2024.150371. PMID: 39004065.</t>
  </si>
  <si>
    <t xml:space="preserve">10.1016/j.bbrc.2024.150371</t>
  </si>
  <si>
    <t xml:space="preserve">39004065</t>
  </si>
  <si>
    <t xml:space="preserve">functional support (other cells) — Functional support: hydrogen peroxide/oxidative stress reduced NAD+ through PARP activation; not NP-specific.</t>
  </si>
  <si>
    <t xml:space="preserve">NPMT-I348</t>
  </si>
  <si>
    <t xml:space="preserve">Lan F, Cacicedo JM, Ruderman N, Ido Y. SIRT1 modulation of the acetylation status, cytosolic localization, and activity of LKB1. Possible role in AMP-activated protein kinase activation. J Biol Chem. 2008 Oct 10;283(41):27628-27635. doi: 10.1074/jbc.M805711200. Epub 2008 Aug 7. PMID: 18687677; PMCID: PMC2562073.</t>
  </si>
  <si>
    <t xml:space="preserve">10.1074/jbc.m805711200</t>
  </si>
  <si>
    <t xml:space="preserve">18687677</t>
  </si>
  <si>
    <t xml:space="preserve">NPMT-I349</t>
  </si>
  <si>
    <t xml:space="preserve">Sao, K., Risbud, M.V. SDC4 drives fibrotic remodeling of the intervertebral disc under altered spinal loading. Cell Death Dis 16, 678 (2025). https://doi.org/10.1038/s41419-025-08002-3</t>
  </si>
  <si>
    <t xml:space="preserve">10.1038/s41419-025-08002-3</t>
  </si>
  <si>
    <t xml:space="preserve">NPMT-I350</t>
  </si>
  <si>
    <t xml:space="preserve">Fujita N, Hirose Y, Tran CM, et al. HIF-1-PHD2 axis controls expression of syndecan 4 in nucleus pulposus cells. FASEB J. 2014;28(6):2455-2465. doi: 10.1096/fj.13-243741. PMID: 24558194.</t>
  </si>
  <si>
    <t xml:space="preserve">10.1096/fj.13-243741</t>
  </si>
  <si>
    <t xml:space="preserve">24558194</t>
  </si>
  <si>
    <t xml:space="preserve">Opposite direction — NP cells — Hypoxia/HIF-1 upregulates SDC4; contradicts inhibitory sign and does not resolve M compartment.</t>
  </si>
  <si>
    <t xml:space="preserve">NPMT-I351</t>
  </si>
  <si>
    <t xml:space="preserve">NPMT-I352</t>
  </si>
  <si>
    <t xml:space="preserve">Opposite direction — NP cells — Hypoxia/HIF-1 upregulates SDC4; contradicts inhibitory sign and does not resolve E compartment.</t>
  </si>
  <si>
    <t xml:space="preserve">NPMT-I353</t>
  </si>
  <si>
    <t xml:space="preserve">MitD</t>
  </si>
  <si>
    <t xml:space="preserve">NP cell experimental model</t>
  </si>
  <si>
    <t xml:space="preserve">Yang L, Zhu L, Dong W, Cao Y, Lin L, Rong Z, Zhang Z, Wu G. Reactive oxygen species-mediated mitochondrial dysfunction plays a critical role in high glucose-induced nucleus pulposus cell injury. Int Orthop. 2014;38(1):205-206. doi: 10.1007/s00264-013-2144-6. PMID: 24122049.</t>
  </si>
  <si>
    <t xml:space="preserve">10.1007/s00264-013-2144-6</t>
  </si>
  <si>
    <t xml:space="preserve">24122049</t>
  </si>
  <si>
    <t xml:space="preserve">Supported in NP — ROS-mediated mitochondrial dysfunction in NP cells; interpret MitD as mitochondrial dysfunction</t>
  </si>
  <si>
    <t xml:space="preserve">Summary statistics of the interaction corpus</t>
  </si>
  <si>
    <t xml:space="preserve">All counts are formulas on the 'Interactions' sheet and refer to interactions (rows), not to distinct publications.</t>
  </si>
  <si>
    <t xml:space="preserve">Key figures</t>
  </si>
  <si>
    <t xml:space="preserve">  Activating</t>
  </si>
  <si>
    <t xml:space="preserve">  Inhibitory</t>
  </si>
  <si>
    <t xml:space="preserve">Interactions with at least one DOI</t>
  </si>
  <si>
    <t xml:space="preserve">Interactions with an evidence note (reviewed)</t>
  </si>
  <si>
    <t xml:space="preserve">Interactions whose references carry a retraction or concern notice</t>
  </si>
  <si>
    <t xml:space="preserve">Interactions whose reference is also cited in Table S2</t>
  </si>
  <si>
    <t xml:space="preserve">Distinct DOIs cited</t>
  </si>
  <si>
    <t xml:space="preserve">Cell type of the supporting evidence</t>
  </si>
  <si>
    <t xml:space="preserve">Share</t>
  </si>
  <si>
    <t xml:space="preserve">Total</t>
  </si>
  <si>
    <t xml:space="preserve">Species of the experimental model</t>
  </si>
  <si>
    <t xml:space="preserve">Experimental setting</t>
  </si>
  <si>
    <t xml:space="preserve">Interactions by functional module</t>
  </si>
  <si>
    <t xml:space="preserve">Functional module</t>
  </si>
  <si>
    <t xml:space="preserve">Outgoing (source)</t>
  </si>
  <si>
    <t xml:space="preserve">Incoming (target)</t>
  </si>
  <si>
    <t xml:space="preserve">Within module</t>
  </si>
  <si>
    <t xml:space="preserve">A node belongs to its primary functional module (the categories used in the manuscript's figures).</t>
  </si>
  <si>
    <t xml:space="preserve">Evidence review of 37 interactions</t>
  </si>
  <si>
    <t xml:space="preserve">Interactions whose supporting evidence was added or re-examined during curation, with the classification of that evidence. Interactions supported only by indirect, contextual, partial or conflicting evidence are kept in the network and flagged here for transparency.</t>
  </si>
  <si>
    <t xml:space="preserve">Evidence class</t>
  </si>
  <si>
    <t xml:space="preserve">Cell type / model</t>
  </si>
  <si>
    <t xml:space="preserve">Publication</t>
  </si>
  <si>
    <t xml:space="preserve">What was shown</t>
  </si>
  <si>
    <t xml:space="preserve">Interpretation / limitation</t>
  </si>
  <si>
    <t xml:space="preserve">Used as support in corpus</t>
  </si>
  <si>
    <t xml:space="preserve">Supported in NP</t>
  </si>
  <si>
    <t xml:space="preserve">See original evidence review / CORPUS metadata</t>
  </si>
  <si>
    <t xml:space="preserve">HIF-1α overexpression increased aggrecan</t>
  </si>
  <si>
    <t xml:space="preserve">Retained literature where relevant; compartment and direction must match. HIF-1α overexpression increased aggrecan</t>
  </si>
  <si>
    <t xml:space="preserve">Yes</t>
  </si>
  <si>
    <t xml:space="preserve">Partial: ADAMTS4 only</t>
  </si>
  <si>
    <t xml:space="preserve">p38 dependent TNF-α induction of ADAMTS4; NOT demonstrated for ADAMTS5</t>
  </si>
  <si>
    <t xml:space="preserve">Retained literature where relevant; compartment and direction must match. p38 dependent TNF-α induction of ADAMTS4; NOT demonstrated for ADAMTS5</t>
  </si>
  <si>
    <t xml:space="preserve">Contextual; direction conflicts</t>
  </si>
  <si>
    <t xml:space="preserve">Other mammalian cells / biochemical</t>
  </si>
  <si>
    <t xml:space="preserve">PIP3 recruits and promotes activation of AKT; no M-to-E cross-compartment inhibition shown</t>
  </si>
  <si>
    <t xml:space="preserve">Cited because it directly studies PIP3 and AKT1, but it supports activation and does not validate negative sign or M/E topology</t>
  </si>
  <si>
    <t xml:space="preserve">Yes — contextual only</t>
  </si>
  <si>
    <t xml:space="preserve">PIP3 recruits and promotes activation of AKT; no E-to-M cross-compartment inhibition shown</t>
  </si>
  <si>
    <t xml:space="preserve">Same primary paper supports generic PIP3–AKT molecular interaction, not negative sign or compartment-specific effect</t>
  </si>
  <si>
    <t xml:space="preserve">Indirect mechanistic support</t>
  </si>
  <si>
    <t xml:space="preserve">Mammalian cells</t>
  </si>
  <si>
    <t xml:space="preserve">Ca2+ can activate AMPK via CaMKKβ; osmotic compartment not tested.</t>
  </si>
  <si>
    <t xml:space="preserve">Selected due to experimentally measured relationship; sign/context caveat recorded</t>
  </si>
  <si>
    <t xml:space="preserve">Yes — contextual or indirect</t>
  </si>
  <si>
    <t xml:space="preserve">Supported in other cells</t>
  </si>
  <si>
    <t xml:space="preserve">ROS-dependent AMPK activation in hypoxic cultured cells; not NP-specific</t>
  </si>
  <si>
    <t xml:space="preserve">Retained literature where relevant; compartment and direction must match. ROS-dependent AMPK activation in hypoxic cultured cells; not NP-specific</t>
  </si>
  <si>
    <t xml:space="preserve">Contextual / contradictory; retained at curators' discretion</t>
  </si>
  <si>
    <t xml:space="preserve">He X, Ohba S, Hojo H, McMahon AP. AP-1 family members act with Sox9 to promote chondrocyte hypertrophy. Development. 2016;143(16):3012-3023. doi: 10.1242/dev.134502. PMID: 27471255.
Yang Y, Gomez N, Infarinato N, et al. The pioneer factor SOX9 competes for epigenetic factors to switch stem cell fates. Nat Cell Biol. 2023;25:1185-1195. doi: 10.1038/s41556-023-01184-y.</t>
  </si>
  <si>
    <t xml:space="preserve">Context-dependent cooperation or altered occupancy; not general inhibition.</t>
  </si>
  <si>
    <t xml:space="preserve">Included per request; NOT direct evidence of negative signed compartment-specific edge.</t>
  </si>
  <si>
    <t xml:space="preserve">Yes — caveated</t>
  </si>
  <si>
    <t xml:space="preserve">Supported in chondrocytes</t>
  </si>
  <si>
    <t xml:space="preserve">IP3 production drives calcium release from endoplasmic reticulum</t>
  </si>
  <si>
    <t xml:space="preserve">Retained literature where relevant; compartment and direction must match. IP3 production drives calcium release from endoplasmic reticulum</t>
  </si>
  <si>
    <t xml:space="preserve">FOXO1 knockdown reduced catalase protein under oxidative challenge</t>
  </si>
  <si>
    <t xml:space="preserve">Retained literature where relevant; compartment and direction must match. FOXO1 knockdown reduced catalase protein under oxidative challenge</t>
  </si>
  <si>
    <t xml:space="preserve">HIF-1α overexpression increased type II collagen</t>
  </si>
  <si>
    <t xml:space="preserve">Retained literature where relevant; compartment and direction must match. HIF-1α overexpression increased type II collagen</t>
  </si>
  <si>
    <t xml:space="preserve">indirect / pathway-level</t>
  </si>
  <si>
    <t xml:space="preserve">NP cells</t>
  </si>
  <si>
    <t xml:space="preserve">Indirect NP evidence: oxidative stress (TBHP) was associated with ERK1/2-dependent Drp1 activation; ROS itself was not established as the direct activator.</t>
  </si>
  <si>
    <t xml:space="preserve">Chosen as published experimental evidence; limitations: Indirect NP evidence: oxidative stress (TBHP) was associated with ERK1/2-dependent Drp1 activation; ROS itself was not established as the direct activator.</t>
  </si>
  <si>
    <t xml:space="preserve">No</t>
  </si>
  <si>
    <t xml:space="preserve">Pathway-level only: MAP3K activates downstream MAPK signalling which phosphorylates ELK1. Direct MAP3K-to-ELK1 action not shown.</t>
  </si>
  <si>
    <t xml:space="preserve">Chosen as published experimental evidence; limitations: Pathway-level only: MAP3K activates downstream MAPK signalling which phosphorylates ELK1. Direct MAP3K-to-ELK1 action not shown.</t>
  </si>
  <si>
    <t xml:space="preserve">p38 inhibition reduces stress-induced HIF-1α expression</t>
  </si>
  <si>
    <t xml:space="preserve">Retained literature where relevant; compartment and direction must match. p38 inhibition reduces stress-induced HIF-1α expression</t>
  </si>
  <si>
    <t xml:space="preserve">Vhl deletion increases HIF-2α protein</t>
  </si>
  <si>
    <t xml:space="preserve">Retained literature where relevant; compartment and direction must match. Vhl deletion increases HIF-2α protein</t>
  </si>
  <si>
    <t xml:space="preserve">Direct activation</t>
  </si>
  <si>
    <t xml:space="preserve">Other mammalian cells — U2OS/HeLa cultured cells</t>
  </si>
  <si>
    <t xml:space="preserve">Hypoxia induces IKK activity via CaMK2/TAK1 pathway. Tested in cancer cell cultures, not NP.</t>
  </si>
  <si>
    <t xml:space="preserve">Retained literature where relevant; compartment and direction must match. Hypoxia induces IKK activity via CaMK2/TAK1 pathway. Tested in cancer cell cultures, not NP.</t>
  </si>
  <si>
    <t xml:space="preserve">Indirect supporting mechanism</t>
  </si>
  <si>
    <t xml:space="preserve">Rat astrocytes / brain slices</t>
  </si>
  <si>
    <t xml:space="preserve">Oxidative stress activated PLC and accumulated inositol phosphates, consistent with IP3 generation.</t>
  </si>
  <si>
    <t xml:space="preserve">Contextual; pathway analogy only</t>
  </si>
  <si>
    <t xml:space="preserve">Rat1 fibroblasts, 3T3-L1 / cell biochemical</t>
  </si>
  <si>
    <t xml:space="preserve">PKN1 is activated by PDK1 and affects actin cytoskeleton; separately ROCK activates LIMK1; PKN1 to LIMK1 not directly demonstrated</t>
  </si>
  <si>
    <t xml:space="preserve">Selected two primary mechanistic studies that connect PKN1 and LIMK1 to cytoskeletal regulation separately; no direct PKN1→LIMK1 evidence</t>
  </si>
  <si>
    <t xml:space="preserve">H2O2-driven oxidative stress activates p38</t>
  </si>
  <si>
    <t xml:space="preserve">Retained literature where relevant; compartment and direction must match. H2O2-driven oxidative stress activates p38</t>
  </si>
  <si>
    <t xml:space="preserve">Direct sign match, distant cell type</t>
  </si>
  <si>
    <t xml:space="preserve">Endothelial cells — Human umbilical vein endothelial cells</t>
  </si>
  <si>
    <t xml:space="preserve">Hypoxia decreases PIEZO1 in HUVEC. NP transfer is speculative.</t>
  </si>
  <si>
    <t xml:space="preserve">Retained literature where relevant; compartment and direction must match. Hypoxia decreases PIEZO1 in HUVEC. NP transfer is speculative.</t>
  </si>
  <si>
    <t xml:space="preserve">Direct general pathway, compartment unresolved</t>
  </si>
  <si>
    <t xml:space="preserve">Other mammalian cells — Human 293 cells and purified enzyme</t>
  </si>
  <si>
    <t xml:space="preserve">PTEN directly dephosphorylates PIP3; E tag is NOT experimentally distinguished.</t>
  </si>
  <si>
    <t xml:space="preserve">Retained literature where relevant; compartment and direction must match. PTEN directly dephosphorylates PIP3; E tag is NOT experimentally distinguished.</t>
  </si>
  <si>
    <t xml:space="preserve">Activated Rac1 stimulates phospholipase D isozymes including PLD2; E compartment untested</t>
  </si>
  <si>
    <t xml:space="preserve">Retained literature where relevant; compartment and direction must match. Activated Rac1 stimulates phospholipase D isozymes including PLD2; E compartment untested</t>
  </si>
  <si>
    <t xml:space="preserve">Activated Rac1 stimulates phospholipase D isozymes including PLD2; M compartment untested</t>
  </si>
  <si>
    <t xml:space="preserve">Retained literature where relevant; compartment and direction must match. Activated Rac1 stimulates phospholipase D isozymes including PLD2; M compartment untested</t>
  </si>
  <si>
    <t xml:space="preserve">PPARγ ligand-mediated PTEN induction; no NP/chondrocyte demonstration</t>
  </si>
  <si>
    <t xml:space="preserve">Retained literature where relevant; compartment and direction must match. PPARγ ligand-mediated PTEN induction; no NP/chondrocyte demonstration</t>
  </si>
  <si>
    <t xml:space="preserve">Paradiso A, Cardone RA, Bellizzi A, et al. The Na+-H+ exchanger-1 induces cytoskeletal changes involving reciprocal RhoA and Rac1 signaling, resulting in motility and invasion in MDA-MB-435 cells. Breast Cancer Res. 2004;6(6):R616-R628. doi: 10.1186/bcr922. PMID: 15535843.</t>
  </si>
  <si>
    <t xml:space="preserve">Reciprocal RhoA-RAC1 signaling; specific E→M inhibition not demonstrated.</t>
  </si>
  <si>
    <t xml:space="preserve">Reciprocal RhoA-RAC1 signaling; specific M→E inhibition not demonstrated.</t>
  </si>
  <si>
    <t xml:space="preserve">DRP1 upregulation / mitochondrial fission promotes ROS accumulation</t>
  </si>
  <si>
    <t xml:space="preserve">Retained literature where relevant; compartment and direction must match. DRP1 upregulation / mitochondrial fission promotes ROS accumulation</t>
  </si>
  <si>
    <t xml:space="preserve">Stabilization of SOD1 improves ROS detoxification and attenuates oxidative injury</t>
  </si>
  <si>
    <t xml:space="preserve">Retained literature where relevant; compartment and direction must match. Stabilization of SOD1 improves ROS detoxification and attenuates oxidative injury</t>
  </si>
  <si>
    <t xml:space="preserve">Opposite direction</t>
  </si>
  <si>
    <t xml:space="preserve">Vascular smooth muscle cells</t>
  </si>
  <si>
    <t xml:space="preserve">FOXO3a activation downregulated TIMP3 (reported ~27-fold): contradicts network positive sign.</t>
  </si>
  <si>
    <t xml:space="preserve">Yes — contradictory evidence</t>
  </si>
  <si>
    <t xml:space="preserve">Mouse epidermal keratinocytes</t>
  </si>
  <si>
    <t xml:space="preserve">JunB and c-Jun directly activate TIMP3 transcription; contradicts network inhibitory sign.</t>
  </si>
  <si>
    <t xml:space="preserve">Functional support, not expression</t>
  </si>
  <si>
    <t xml:space="preserve">Human endothelial progenitor cells</t>
  </si>
  <si>
    <t xml:space="preserve">Hypoxia reduced adhesion to fibronectin in alpha5/beta1-integrin-dependent cells; no proof alpha5beta1 abundance declines or FN compartment.</t>
  </si>
  <si>
    <t xml:space="preserve">Same reduction in alpha5/beta1-related FN adhesion; F-s subtype not established.</t>
  </si>
  <si>
    <t xml:space="preserve">Non-disc cells</t>
  </si>
  <si>
    <t xml:space="preserve">Hypoxia increased alphaVbeta3 surface expression; contradicts negative sign.</t>
  </si>
  <si>
    <t xml:space="preserve">Ridgway PF, Ziprin P, Peck DH, Darzi AW. Hypoxia increases reepithelialization via an alphavbeta6-dependent pathway. Wound Repair Regen. 2005;13(2):158-164. doi: 10.1111/j.1067-1927.2005.130206.x. PMID: 15828940.</t>
  </si>
  <si>
    <t xml:space="preserve">CONTRADICTORY: hypoxia INCREASES αVβ6, opposite of network inhibition.</t>
  </si>
  <si>
    <t xml:space="preserve">functional support</t>
  </si>
  <si>
    <t xml:space="preserve">Functional support: hydrogen peroxide/oxidative stress reduced NAD+ through PARP activation; not NP-specific.</t>
  </si>
  <si>
    <t xml:space="preserve">Chosen as published experimental evidence; limitations: Functional support: hydrogen peroxide/oxidative stress reduced NAD+ through PARP activation; not NP-specific.</t>
  </si>
  <si>
    <t xml:space="preserve">Opposite direction — NP cells</t>
  </si>
  <si>
    <t xml:space="preserve">Nucleus pulposus cells</t>
  </si>
  <si>
    <t xml:space="preserve">Hypoxia/HIF-1 upregulates SDC4; contradicts inhibitory sign and does not resolve M compartment.</t>
  </si>
  <si>
    <t xml:space="preserve">Hypoxia/HIF-1 upregulates SDC4; contradicts inhibitory sign and does not resolve E compartment.</t>
  </si>
  <si>
    <t xml:space="preserve">ROS-mediated mitochondrial dysfunction in NP cells; interpret MitD as mitochondrial dysfunction</t>
  </si>
  <si>
    <t xml:space="preserve">Retained literature where relevant; compartment and direction must match. ROS-mediated mitochondrial dysfunction in NP cells; interpret MitD as mitochondrial dysfunction</t>
  </si>
  <si>
    <t xml:space="preserve">Retraction screen of cited publications</t>
  </si>
  <si>
    <t xml:space="preserve">Each DOI cited in the corpus was queried in Crossref on 2026-10-11 for editorial updates linked to the record (retraction, withdrawal, removal, expression of concern), which include the Retraction Watch database. References without a DOI could not be screened this way.</t>
  </si>
  <si>
    <t xml:space="preserve">DOI</t>
  </si>
  <si>
    <t xml:space="preserve">Title (Crossref)</t>
  </si>
  <si>
    <t xml:space="preserve">Year</t>
  </si>
  <si>
    <t xml:space="preserve">Found in Crossref</t>
  </si>
  <si>
    <t xml:space="preserve">Editorial notices</t>
  </si>
  <si>
    <t xml:space="preserve">Peroxisome proliferator-activated receptor ? activators inhibit interleukin-1?-induced nitric oxide and matrix metalloproteinase 13 production in human chondrocytes</t>
  </si>
  <si>
    <t xml:space="preserve">None</t>
  </si>
  <si>
    <t xml:space="preserve">Synergistic induction of matrix metalloproteinase 1 by interleukin-1? and oncostatin M in human chondrocytes involves signal transducer and activator of transcription and activator protein 1 transcription factors via a novel mechanism</t>
  </si>
  <si>
    <t xml:space="preserve">Prussian Blue Nanoparticles Stabilize SOD1 from Ubiquitination‐Proteasome Degradation to Rescue Intervertebral Disc Degeneration</t>
  </si>
  <si>
    <t xml:space="preserve">Differential expression of GADD45β in normal and osteoarthritic cartilage: Potential role in homeostasis of articular chondrocytes</t>
  </si>
  <si>
    <t xml:space="preserve">Cited2 modulates hypoxia‐inducible factor–dependent expression of vascular endothelial growth factor in nucleus pulposus cells of the rat intervertebral disc</t>
  </si>
  <si>
    <t xml:space="preserve">Rho kinase–dependent activation of SOX9 in chondrocytes</t>
  </si>
  <si>
    <t xml:space="preserve">Peroxisome Proliferator–Activated Receptor γ Coactivator 1α and FoxO3A Mediate Chondroprotection by AMP‐Activated Protein Kinase</t>
  </si>
  <si>
    <t xml:space="preserve">FoxO Transcription Factors Support Oxidative Stress Resistance in Human Chondrocytes</t>
  </si>
  <si>
    <t xml:space="preserve">Protective effects of cilengitide on inflammation in chondrocytes under excessive mechanical stress</t>
  </si>
  <si>
    <t xml:space="preserve">Runx2 regulates FGF2‐induced &lt;i&gt;Bmp2&lt;/i&gt; expression during cranial bone development</t>
  </si>
  <si>
    <t xml:space="preserve">Genetic variant in theHSPB1 promoter region impairs the HSP27 stress response</t>
  </si>
  <si>
    <t xml:space="preserve">SOX9 determines RUNX2 transactivity by directing intracellular degradation</t>
  </si>
  <si>
    <t xml:space="preserve">Hypoxic Regulation of Mitochondrial Metabolism and Mitophagy in Nucleus Pulposus Cells Is Dependent on HIF-1α–BNIP3 Axis</t>
  </si>
  <si>
    <t xml:space="preserve">10.1002/jbmr.4300</t>
  </si>
  <si>
    <t xml:space="preserve">Interactions between extracellular signal-regulated kinase 1/2 and P38 MAP kinase pathways in the control of RUNX2 phosphorylation and transcriptional activity</t>
  </si>
  <si>
    <t xml:space="preserve">10.1002/jbmr.561</t>
  </si>
  <si>
    <t xml:space="preserve">Interactions between extracellular signal-regulated kinase 1/2 and P38 Map kinase pathways in the control of RUNX2 phosphorylation and transcriptional activity</t>
  </si>
  <si>
    <t xml:space="preserve">erratum (10.1002/jbmr.4300)</t>
  </si>
  <si>
    <t xml:space="preserve">JNK phosphorylates the HSF1 transcriptional activation domain: Role of JNK in the regulation of the heat shock response</t>
  </si>
  <si>
    <t xml:space="preserve">Localization and regulation of phospholipase D2 by ARF6</t>
  </si>
  <si>
    <t xml:space="preserve">Activating transcription factor 2 controls Bcl‐2 promoter activity in growth plate chondrocytes</t>
  </si>
  <si>
    <t xml:space="preserve">Role of Sox9 in Growth Factor Regulation of Articular Chondrocytes</t>
  </si>
  <si>
    <t xml:space="preserve">Study on the mechanism of excessive apoptosis of nucleus pulposus cells induced by shRNA‐Piezo1 under abnormal mechanical stretch stress</t>
  </si>
  <si>
    <t xml:space="preserve">PI3K/AKT regulates aggrecan gene expression by modulating Sox9 expression and activity in nucleus pulposus cells of the intervertebral disc</t>
  </si>
  <si>
    <t xml:space="preserve">Age‐related reduction in the expression of FOXO transcription factors and correlations with intervertebral disc degeneration</t>
  </si>
  <si>
    <t xml:space="preserve">Fibroblast growth factor 18 gives growth and directional cues to airway cartilage</t>
  </si>
  <si>
    <t xml:space="preserve">Transcription factor Nfat1 deficiency causes osteoarthritis through dysfunction of adult articular chondrocytes</t>
  </si>
  <si>
    <t xml:space="preserve">Mechanically activated fyn utilizes mTORC2 to regulate RhoA and adipogenesis in mesenchymal stem cells</t>
  </si>
  <si>
    <t xml:space="preserve">Hypoglycemia-induced AP-1 transcription factor and basic fibroblast growth factor gene expression in multidrug resistant human breast carcinoma MCF-7/ADR cells</t>
  </si>
  <si>
    <t xml:space="preserve">10.1007/s00018-023-05094-y</t>
  </si>
  <si>
    <t xml:space="preserve">Lactic acid promotes nucleus pulposus cell senescence and corresponding intervertebral disc degeneration via interacting with Akt</t>
  </si>
  <si>
    <t xml:space="preserve">correction (10.1007/s00018-025-05824-4)</t>
  </si>
  <si>
    <t xml:space="preserve">10.1007/s00018-025-05824-4</t>
  </si>
  <si>
    <t xml:space="preserve">Correction: Lactic acid promotes nucleus pulposus cell senescence and corresponding intervertebral disc degeneration via interacting with Akt</t>
  </si>
  <si>
    <t xml:space="preserve">Reactive oxygen species-mediated mitochondrial dysfunction plays a critical role in high glucose-induced nucleus pulposus cell injury</t>
  </si>
  <si>
    <t xml:space="preserve">JNK/ERK–AP-1/Runx2 induction “paves the way” to cartilage load-ignited chondroblastic differentiation</t>
  </si>
  <si>
    <t xml:space="preserve">The effect of mechanical load on integrin subunits ?5 and ?1 in chondrocytes from mature and immature cartilage explants</t>
  </si>
  <si>
    <t xml:space="preserve">Integrin αVβ3 Signaling in the Progression of Osteoarthritis Induced by Excessive Mechanical Stress</t>
  </si>
  <si>
    <t xml:space="preserve">Mitochondrial outer membrane permeabilization: a focus on the role of mitochondrial membrane structural organization</t>
  </si>
  <si>
    <t xml:space="preserve">Calcinueurin is a calcium ion-dependent, calmodulin-stimulated protein phosphatase</t>
  </si>
  <si>
    <t xml:space="preserve">Apoptosis Signal-Regulated Kinase-1 Promotes Nucleus Pulposus Cell Senescence and Apoptosis to Regulate Intervertebral Disc Degeneration</t>
  </si>
  <si>
    <t xml:space="preserve">Regulation of inositol 1,4,5-trisphosphate-induced Ca2+ release by reversible phosphorylation and dephosphorylation</t>
  </si>
  <si>
    <t xml:space="preserve">Reactive oxygen species and cell signaling. Review</t>
  </si>
  <si>
    <t xml:space="preserve">Hypoxia-inducible factor-lα mediates aggrecan and collagen Π expression via NOTCH1 signaling in nucleus pulposus cells during intervertebral disc degeneration</t>
  </si>
  <si>
    <t xml:space="preserve">NAD+ overconsumption by poly (ADP-ribose) polymerase (PARP) under oxidative stress induces cytoskeletal disruption in vascular endothelial cell</t>
  </si>
  <si>
    <t xml:space="preserve">Focal adhesion kinase: switching between GAPs and GEFs in the regulation of cell motility</t>
  </si>
  <si>
    <t xml:space="preserve">A Conserved MST-FOXO Signaling Pathway Mediates Oxidative-Stress Responses and Extends Life Span</t>
  </si>
  <si>
    <t xml:space="preserve">TSC2 Integrates Wnt and Energy Signals via a Coordinated Phosphorylation by AMPK and GSK3 to Regulate Cell Growth</t>
  </si>
  <si>
    <t xml:space="preserve">10.1016/j.cell.2012.06.037</t>
  </si>
  <si>
    <t xml:space="preserve">Regulation of the Hippo-YAP Pathway by G-Protein-Coupled Receptor Signaling</t>
  </si>
  <si>
    <t xml:space="preserve">erratum (10.1016/j.cell.2024.02.007)</t>
  </si>
  <si>
    <t xml:space="preserve">Alternative Wnt Signaling Activates YAP/TAZ</t>
  </si>
  <si>
    <t xml:space="preserve">10.1016/j.cell.2024.02.007</t>
  </si>
  <si>
    <t xml:space="preserve">Mechanical loading stimulates chondrogenesis via the PKA/CREB-Sox9 and PP2A pathways in chicken micromass cultures</t>
  </si>
  <si>
    <t xml:space="preserve">Inhibition of ETS1/DRP1 axis attenuates intervertebral disc degeneration by suppressing excessive mitochondrial fission</t>
  </si>
  <si>
    <t xml:space="preserve">Ca2+/calmodulin-dependent protein kinase kinase-β acts upstream of AMP-activated protein kinase in mammalian cells</t>
  </si>
  <si>
    <t xml:space="preserve">Rheb Binds and Regulates the mTOR Kinase</t>
  </si>
  <si>
    <t xml:space="preserve">Reactive oxygen species induce Cox‐2 expression via TAK1 activation in synovial fibroblast cells</t>
  </si>
  <si>
    <t xml:space="preserve">Hypoxic activation of AMPK is dependent on mitochondrial ROS but independent of an increase in AMP/ATP ratio</t>
  </si>
  <si>
    <t xml:space="preserve">Osmolarity and calcium regulate connective tissue growth factor (CTGF/CCN2) expression in nucleus pulposus cells</t>
  </si>
  <si>
    <t xml:space="preserve">Protection of the enhanced Nrf2 deacetylation and its downstream transcriptional activity by SIRT1 in myocardial ischemia/reperfusion injury</t>
  </si>
  <si>
    <t xml:space="preserve">PPAR-γ agonist pioglitazone protects against IL-17 induced intervertebral disc inflammation and degeneration via suppression of NF-κB signaling pathway</t>
  </si>
  <si>
    <t xml:space="preserve">Piezo1 activates the NLRP3 inflammasome in nucleus pulposus cell-mediated by Ca2+/NF-κB pathway</t>
  </si>
  <si>
    <t xml:space="preserve">Chondrogenic differentiation of growth factor-stimulated precursor cells in cartilage repair tissue is associated with increased HIF-1α activity</t>
  </si>
  <si>
    <t xml:space="preserve">Exuberant expression of chemokine genes by adult human articular chondrocytes in response to IL-1β</t>
  </si>
  <si>
    <t xml:space="preserve">Loss of Vhl in cartilage accelerated the progression of age-associated and surgically induced murine osteoarthritis</t>
  </si>
  <si>
    <t xml:space="preserve">Epigenetic regulation of interleukin-8, an inflammatory chemokine, in osteoarthritis</t>
  </si>
  <si>
    <t xml:space="preserve">Epigenetically mediated spontaneous reduction of NFAT1 expression causes imbalanced metabolic activities of articular chondrocytes in aged mice</t>
  </si>
  <si>
    <t xml:space="preserve">Selective interference of mTORC1/RAPTOR protects against human disc cellular apoptosis, senescence, and extracellular matrix catabolism with Akt and autophagy induction</t>
  </si>
  <si>
    <t xml:space="preserve">Phillygenin inhibits inflammation in chondrocytes via the Nrf2/NF-κB axis and ameliorates osteoarthritis in mice</t>
  </si>
  <si>
    <t xml:space="preserve">Inhibition of ERK1/2 mediated activation of Drp1 alleviates intervertebral disc degeneration via suppressing pyroptosis and apoptosis in nucleus pulposus cells</t>
  </si>
  <si>
    <t xml:space="preserve">Elevated expression of hypoxia-inducible factor-2alpha regulated catabolic factors during intervertebral disc degeneration</t>
  </si>
  <si>
    <t xml:space="preserve">Exogenous Klotho ameliorates extracellular matrix degradation and angiogenesis in intervertebral disc degeneration via inhibition of the Rac1/PAK1/MMP-2 signaling axis</t>
  </si>
  <si>
    <t xml:space="preserve">Sox9 deletion causes severe intervertebral disc degeneration characterized by apoptosis, matrix remodeling, and compartment-specific transcriptomic changes</t>
  </si>
  <si>
    <t xml:space="preserve">Phospholipase D2-Dependent Inhibition of the Nuclear Hormone Receptor PPARγ by Cyclic Phosphatidic Acid</t>
  </si>
  <si>
    <t xml:space="preserve">Functional impact of integrin α5β1 on the homeostasis of intervertebral discs: a study of mechanotransduction pathways using a novel dynamic loading organ culture system</t>
  </si>
  <si>
    <t xml:space="preserve">Growth-plate chondrocytes respond to 17β-estradiol with sex-specific increases in IP3 and intracellular calcium ion signalling via a capacitative entry mechanism</t>
  </si>
  <si>
    <t xml:space="preserve">Synovial joint morphogenesis requires the chondrogenic action of Sox5 and Sox6 in growth plate and articular cartilage</t>
  </si>
  <si>
    <t xml:space="preserve">Characterisation of the phosphorylation of β-catenin at the GSK-3 priming site Ser45</t>
  </si>
  <si>
    <t xml:space="preserve">TAK1 is Critical for IκB Kinase-mediated Activation of the NF-κB Pathway</t>
  </si>
  <si>
    <t xml:space="preserve">Tumor suppressor and anti-inflammatory actions of PPARγ agonists are mediated via upregulation of PTEN</t>
  </si>
  <si>
    <t xml:space="preserve">Integrin-mediated signal transduction linked to Ras pathway by GRB2 binding to focal adhesion kinase</t>
  </si>
  <si>
    <t xml:space="preserve">Mechanosignaling activation of TGFβ maintains intervertebral disc homeostasis</t>
  </si>
  <si>
    <t xml:space="preserve">BCL-2 family proteins: changing partners in the dance towards death</t>
  </si>
  <si>
    <t xml:space="preserve">The mechanism of phospholipase C-γ1 regulation</t>
  </si>
  <si>
    <t xml:space="preserve">ERK promotes tumorigenesis by inhibiting FOXO3a via MDM2-mediated degradation</t>
  </si>
  <si>
    <t xml:space="preserve">Transcriptional regulation of endochondral ossification by HIF-2α during skeletal growth and osteoarthritis development</t>
  </si>
  <si>
    <t xml:space="preserve">mTORC1 drives HIF-1α and VEGF-A signalling via multiple mechanisms involving 4E-BP1, S6K1 and STAT3</t>
  </si>
  <si>
    <t xml:space="preserve">The RCAN1.4-calcineurin/NFAT signaling pathway is essential for hypoxic adaption of intervertebral discs</t>
  </si>
  <si>
    <t xml:space="preserve">Excessive mechanical strain accelerates intervertebral disc degeneration by disrupting intrinsic circadian rhythm</t>
  </si>
  <si>
    <t xml:space="preserve">correction (10.1038/s12276-022-00726-y)</t>
  </si>
  <si>
    <t xml:space="preserve">The Nrf2 antioxidant defense system in intervertebral disc degeneration: Molecular insights</t>
  </si>
  <si>
    <t xml:space="preserve">Nucleus pulposus cells regulate macrophages in degenerated intervertebral discs via the integrated stress response-mediated CCL2/7-CCR2 signaling pathway</t>
  </si>
  <si>
    <t xml:space="preserve">TAZ activation by Hippo pathway dysregulation induces cytokine gene expression and promotes mesothelial cell transformation</t>
  </si>
  <si>
    <t xml:space="preserve">Targeting PI3K/Akt signal transduction for cancer therapy</t>
  </si>
  <si>
    <t xml:space="preserve">10.1038/s41419-019-1701-3</t>
  </si>
  <si>
    <t xml:space="preserve">Nrf2 drives oxidative stress-induced autophagy in nucleus pulposus cells via a Keap1/Nrf2/p62 feedback loop to protect intervertebral disc from degeneration</t>
  </si>
  <si>
    <t xml:space="preserve">GSK3β is a key regulator of the ROS-dependent necrotic death induced by the quinone DMNQ</t>
  </si>
  <si>
    <t xml:space="preserve">SDC4 drives fibrotic remodeling of the intervertebral disc under altered spinal loading</t>
  </si>
  <si>
    <t xml:space="preserve">10.1038/s41556-023-01184-y</t>
  </si>
  <si>
    <t xml:space="preserve">The pioneer factor SOX9 competes for epigenetic factors to switch stem cell fates</t>
  </si>
  <si>
    <t xml:space="preserve">A selective inhibition of c-Fos/activator protein-1 as a potential therapeutic target for intervertebral disc degeneration and associated pain</t>
  </si>
  <si>
    <t xml:space="preserve">TonEBP regulates the hyperosmotic expression of aquaporin 1 and 5 in the intervertebral disc</t>
  </si>
  <si>
    <t xml:space="preserve">Calcium calmodulin kinase II activity is required for cartilage homeostasis in osteoarthritis</t>
  </si>
  <si>
    <t xml:space="preserve">mTORC1 directly inhibits AMPK to promote cell proliferation under nutrient stress</t>
  </si>
  <si>
    <t xml:space="preserve">Mitochondrial outer membrane permeabilization during apoptosis: the innocent bystander scenario</t>
  </si>
  <si>
    <t xml:space="preserve">Apoptosome: a platform for the activation of initiator caspases</t>
  </si>
  <si>
    <t xml:space="preserve">Bcl‐2 changes conformation to inhibit Bax oligomerization</t>
  </si>
  <si>
    <t xml:space="preserve">ERK activation induces phosphorylation of Elk-1 at multiple S/T-P motifs to high stoichiometry</t>
  </si>
  <si>
    <t xml:space="preserve">Substrate engagement of integrins α5β1 and αvβ3 is necessary, but not sufficient, for high directional persistence in migration on fibronectin</t>
  </si>
  <si>
    <t xml:space="preserve">SOX9 directly Regulates CTGF/CCN2 Transcription in Growth Plate Chondrocytes and in Nucleus Pulposus Cells of Intervertebral Disc</t>
  </si>
  <si>
    <t xml:space="preserve">Calcium-induced dissociation of CIB1 from ASK1 regulates agonist-induced activation of the p38 MAPK pathway in platelets</t>
  </si>
  <si>
    <t xml:space="preserve">Interleukin-1β induces fibroblast growth factor 2 expression and subsequently promotes endothelial progenitor cell angiogenesis in chondrocytes</t>
  </si>
  <si>
    <t xml:space="preserve">Hypoxic development down-regulates endothelial Piezo1 via HIF1-α signaling and impairs Piezo1-mediated vasorelaxation</t>
  </si>
  <si>
    <t xml:space="preserve">Effects of Oxidative Stress on Phospholipid Signaling in Rat Cultured Astrocytes and Brain Slices</t>
  </si>
  <si>
    <t xml:space="preserve">CREB DNA binding activity is inhibited by glycogen synthase kinase‐3β and facilitated by lithium</t>
  </si>
  <si>
    <t xml:space="preserve">Effects of agonists of peroxisome proliferator-activated receptor γ on proteoglycan degradation and matrix metalloproteinase production in rat cartilage</t>
  </si>
  <si>
    <t xml:space="preserve">The role of phospholipase D and phosphatidic acid in the mechanical activation of mTOR signaling in skeletal muscle</t>
  </si>
  <si>
    <t xml:space="preserve">Dephosphorylation by calcineurin regulates translocation of Drp1 to mitochondria</t>
  </si>
  <si>
    <t xml:space="preserve">10.1073/pnas.090491897</t>
  </si>
  <si>
    <t xml:space="preserve">Phosphorylation of protein kinase N by phosphoinositide-dependent protein kinase-1 mediates insulin signals to the actin cytoskeleton</t>
  </si>
  <si>
    <t xml:space="preserve">TRPV4-mediated mechanotransduction regulates the metabolic response of chondrocytes to dynamic loading</t>
  </si>
  <si>
    <t xml:space="preserve">ROCK2 interacts with p22phox to phosphorylate p47phox and to control NADPH oxidase activation in human monocytes</t>
  </si>
  <si>
    <t xml:space="preserve">p38 Mitogen-activated Protein Kinase Phosphorylates Cytosolic Phospholipase A2 (cPLA2) in Thrombin-stimulated Platelets</t>
  </si>
  <si>
    <t xml:space="preserve">Activation of Heat Shock Factor 1 DNA Binding Precedes Stress-induced Serine Phosphorylation</t>
  </si>
  <si>
    <t xml:space="preserve">The Tumor Suppressor, PTEN/MMAC1, Dephosphorylates the Lipid Second Messenger, Phosphatidylinositol 3,4,5-Trisphosphate</t>
  </si>
  <si>
    <t xml:space="preserve">Cytosolic Phospholipase A2 Is Required for Cytokine-induced Expression of Type IIA Secretory Phospholipase A2 That Mediates Optimal Cyclooxygenase-2-dependent Delayed Prostaglandin E2 Generation in Rat 3Y1 Fibroblasts</t>
  </si>
  <si>
    <t xml:space="preserve">10.1074/jbc.275.5.3577</t>
  </si>
  <si>
    <t xml:space="preserve">Rho-associated Kinase ROCK Activates LIM-kinase 1 by Phosphorylation at Threonine 508 within the Activation Loop</t>
  </si>
  <si>
    <t xml:space="preserve">10.1074/jbc.a115.702571</t>
  </si>
  <si>
    <t xml:space="preserve">AP-1 is a key regulator of proinflammatory cytokine TNFα-mediated triple-negative breast cancer progression.</t>
  </si>
  <si>
    <t xml:space="preserve">Wnt-3A/β-Catenin Signaling Induces Transcription from the LEF-1 Promoter</t>
  </si>
  <si>
    <t xml:space="preserve">Focal Adhesion Kinase and Mitogen-activated Protein Kinases Are Involved in Chondrocyte Activation by the 29-kDa Amino-terminal Fibronectin Fragment</t>
  </si>
  <si>
    <t xml:space="preserve">Phosphorylation of FOXO3a on Ser-7 by p38 Promotes Its Nuclear Localization in Response to Doxorubicin</t>
  </si>
  <si>
    <t xml:space="preserve">Expression of Prolyl Hydroxylases (PHDs) Is Selectively Controlled by HIF-1 and HIF-2 Proteins in Nucleus Pulposus Cells of the Intervertebral Disc</t>
  </si>
  <si>
    <t xml:space="preserve">The Requirement of c-Jun N-terminal Kinase 2 in Regulation of Hypoxia-inducing Factor-1α mRNA Stability</t>
  </si>
  <si>
    <t xml:space="preserve">Prolyl Hydroxylase Domain Protein 2 (PHD2) Binds a Pro-Xaa-Leu-Glu Motif, Linking It to the Heat Shock Protein 90 Pathway</t>
  </si>
  <si>
    <t xml:space="preserve">10.1074/jbc.m115.702571</t>
  </si>
  <si>
    <t xml:space="preserve">AP-1 Is a Key Regulator of Proinflammatory Cytokine TNFα-mediated Triple-negative Breast Cancer Progression</t>
  </si>
  <si>
    <t xml:space="preserve">correction (10.1074/jbc.a115.702571)</t>
  </si>
  <si>
    <t xml:space="preserve">Syndecan-4 Modulates Focal Adhesion Kinase Phosphorylation</t>
  </si>
  <si>
    <t xml:space="preserve">Direct Binding of Syndecan-4 Cytoplasmic Domain to the Catalytic Domain of Protein Kinase Cα (PKCα) Increases Focal Adhesion Localization of PKCα</t>
  </si>
  <si>
    <t xml:space="preserve">Regulation of Phospholipase D2 Activity by Protein Kinase Cα</t>
  </si>
  <si>
    <t xml:space="preserve">c-Jun/Activator Protein-1 Mediates Interleukin-1β-induced Dedifferentiation but Not Cyclooxygenase-2 Expression in Articular Chondrocytes</t>
  </si>
  <si>
    <t xml:space="preserve">The Forkhead Transcription Factor Foxo1 Bridges the JNK Pathway and the Transcription Factor PDX-1 through Its Intracellular Translocation</t>
  </si>
  <si>
    <t xml:space="preserve">Regulation of SOX9 mRNA in Human Articular Chondrocytes Involving p38 MAPK Activation and mRNA Stabilization</t>
  </si>
  <si>
    <t xml:space="preserve">Calcium-dependent Regulation of Protein Kinase D Revealed by a Genetically Encoded Kinase Activity Reporter</t>
  </si>
  <si>
    <t xml:space="preserve">Direct Interactions of Runx2 and Canonical Wnt Signaling Induce FGF18</t>
  </si>
  <si>
    <t xml:space="preserve">Interaction of FOXO with β-Catenin Inhibits β-Catenin/T Cell Factor Activity</t>
  </si>
  <si>
    <t xml:space="preserve">SIRT1 Modulation of the Acetylation Status, Cytosolic Localization, and Activity of LKB1</t>
  </si>
  <si>
    <t xml:space="preserve">Sox9 Inhibits Wnt Signaling by Promoting β-Catenin Phosphorylation in the Nucleus</t>
  </si>
  <si>
    <t xml:space="preserve">Compression stress induces nucleus pulposus cell autophagy by inhibition of the PI3K/AKT/mTOR pathway and activation of the JNK pathway</t>
  </si>
  <si>
    <t xml:space="preserve">Inhibition of RhoA/MRTF-A signaling alleviates nucleus pulposus fibrosis induced by mechanical stress overload</t>
  </si>
  <si>
    <t xml:space="preserve">Nfat</t>
  </si>
  <si>
    <t xml:space="preserve">Type X collagen gene regulation by Runx2 contributes directly to its hypertrophic chondrocyte–specific expression in vivo</t>
  </si>
  <si>
    <t xml:space="preserve">&lt;i&gt;Sox5&lt;/i&gt; and &lt;i&gt;Sox6&lt;/i&gt; are needed to develop and maintain source, columnar, and hypertrophic chondrocytes in the cartilage growth plate</t>
  </si>
  <si>
    <t xml:space="preserve">CaMKII locally encodes L-type channel activity to signal to nuclear CREB in excitation–transcription coupling</t>
  </si>
  <si>
    <t xml:space="preserve">SIRT1 Deficiency Downregulates PTEN/JNK/FOXO1 Pathway to Block Reactive Oxygen Species-Induced Apoptosis in Mouse Embryonic Stem Cells</t>
  </si>
  <si>
    <t xml:space="preserve">Hypoxia-inducible Factor Regulates αvβ3 Integrin Cell Surface Expression</t>
  </si>
  <si>
    <t xml:space="preserve">FAK Potentiates Rac1 Activation and Localization to Matrix Adhesion Sites: A Role for βPIX</t>
  </si>
  <si>
    <t xml:space="preserve">Nutrient-dependent mTORC1 Association with the ULK1–Atg13–FIP200 Complex Required for Autophagy</t>
  </si>
  <si>
    <t xml:space="preserve">Integrins αvβ5 and αvβ3 promote latent TGF-β1 activation by human cardiac fibroblast contraction</t>
  </si>
  <si>
    <t xml:space="preserve">Activation of phospholipase Cγ by PI 3‐kinase‐induced PH domain‐mediated membrane targeting</t>
  </si>
  <si>
    <t xml:space="preserve">HIF‐1‐PHD2 axis controls expression of syndecan 4 in nucleus pulposus cells</t>
  </si>
  <si>
    <t xml:space="preserve">Mechanosensitive transcriptional coactivators MRTF‐A and YAP/TAZ regulate nucleus pulposus cell phenotype through cell shape</t>
  </si>
  <si>
    <t xml:space="preserve">Nucleus Pulposus Cells Upregulate PI3K/Akt and MEK/ERK Signaling Pathways Under Hypoxic Conditions and Resist Apoptosis Induced by Serum Withdrawal</t>
  </si>
  <si>
    <t xml:space="preserve">Low Intensity Pulsed Ultrasound Promotes the Extracellular Matrix Synthesis of Degenerative Human Nucleus Pulposus Cells Through FAK/PI3K/Akt Pathway</t>
  </si>
  <si>
    <t xml:space="preserve">Rho-Associated Kinase Inhibitor Immortalizes Rat Nucleus Pulposus and Annulus Fibrosus Cells</t>
  </si>
  <si>
    <t xml:space="preserve">Wnt/β-catenin signaling is sufficient and necessary for synovial joint formation</t>
  </si>
  <si>
    <t xml:space="preserve">Runx2 inhibits chondrocyte proliferation and hypertrophy through its expression in the perichondrium</t>
  </si>
  <si>
    <t xml:space="preserve">Protein kinase A activates the Hippo pathway to modulate cell proliferation and differentiation</t>
  </si>
  <si>
    <t xml:space="preserve">TNFα shedding and epidermal inflammation are controlled by Jun proteins</t>
  </si>
  <si>
    <t xml:space="preserve">&lt;scp&gt;AMOT&lt;/scp&gt;
                    130 linking F‐actin to
                    &lt;scp&gt;YAP&lt;/scp&gt;
                    is involved in intervertebral disc degeneration</t>
  </si>
  <si>
    <t xml:space="preserve">Roles of p38
                    &lt;scp&gt;MAPK&lt;/scp&gt;
                    signalling in intervertebral disc degeneration</t>
  </si>
  <si>
    <t xml:space="preserve">Hypoxia increases reepithelialization via an alphavbeta6-dependent pathway</t>
  </si>
  <si>
    <t xml:space="preserve">Transcriptional regulation of monocyte chemotactic protein‐1 release by endothelin‐1 in human airway smooth muscle cells involves NF‐κB and AP‐1</t>
  </si>
  <si>
    <t xml:space="preserve">Effect of hypoxia on integrin‐mediated adhesion of endothelial progenitor cells</t>
  </si>
  <si>
    <t xml:space="preserve">&lt;scp&gt;DNMT3a&lt;/scp&gt;‐mediated methylation of &lt;scp&gt;PPARγ&lt;/scp&gt; promote intervertebral disc degeneration by regulating the &lt;scp&gt;NF‐κB&lt;/scp&gt; pathway</t>
  </si>
  <si>
    <t xml:space="preserve">Reactive Oxygen Species Decrease cAMP Response Element Binding Protein Expression in Cardiomyocytes via a Protein Kinase D1-Dependent Mechanism That Does Not Require Ser133 Phosphorylation</t>
  </si>
  <si>
    <t xml:space="preserve">DNA Repair Pathway Stimulated by the Forkhead Transcription Factor FOXO3a Through the Gadd45 Protein</t>
  </si>
  <si>
    <t xml:space="preserve">Stress-Inducible Regulation of Heat Shock Factor 1 by the Deacetylase SIRT1</t>
  </si>
  <si>
    <t xml:space="preserve">Protein Kinase N (PKN) and PKN-Related Protein Rhophilin as Targets of Small GTPase Rho</t>
  </si>
  <si>
    <t xml:space="preserve">Dual Role of Phosphatidylinositol-3,4,5-trisphosphate in the Activation of Protein Kinase B</t>
  </si>
  <si>
    <t xml:space="preserve">Glycogen Synthase Kinase 3 Phosphorylates Hypoxia-Inducible Factor 1&lt;i&gt;α&lt;/i&gt; and Mediates Its Destabilization in a VHL-Independent Manner</t>
  </si>
  <si>
    <t xml:space="preserve">Mechanism of Hypoxia-Induced NF-κB</t>
  </si>
  <si>
    <t xml:space="preserve">mTORC1-Activated S6K1 Phosphorylates Rictor on Threonine 1135 and Regulates mTORC2 Signaling</t>
  </si>
  <si>
    <t xml:space="preserve">SCF/β-TrCP Promotes Glycogen Synthase Kinase 3-Dependent Degradation of the Nrf2 Transcription Factor in a Keap1-Independent Manner</t>
  </si>
  <si>
    <t xml:space="preserve">The TAK1-NLK Mitogen-Activated Protein Kinase Cascade Functions in the Wnt-5a/Ca
                    &lt;sup&gt;2+&lt;/sup&gt;
                    Pathway To Antagonize Wnt/β-Catenin Signaling</t>
  </si>
  <si>
    <t xml:space="preserve">Rac1 regulates nucleus pulposus cell degeneration by activating the Wnt/β-catenin signaling pathway and promotes the progression of intervertebral disc degeneration</t>
  </si>
  <si>
    <t xml:space="preserve">Inhibitory phosphorylation of GSK-3β by AKT, PKA, and PI3K contributes to high NaCl-induced activation of the transcription factor NFAT5 (TonEBP/OREBP)</t>
  </si>
  <si>
    <t xml:space="preserve">Regulation and metabolic functions of mTORC1 and mTORC2</t>
  </si>
  <si>
    <t xml:space="preserve">10.1155/2022/5635797</t>
  </si>
  <si>
    <t xml:space="preserve">Luteolin Protects Chondrocytes from H&lt;sub&gt;2&lt;/sub&gt;O&lt;sub&gt;2&lt;/sub&gt;‐Induced Oxidative Injury and Attenuates Osteoarthritis Progression by Activating AMPK‐Nrf2 Signaling</t>
  </si>
  <si>
    <t xml:space="preserve">correction (10.1155/omcl/9821659)</t>
  </si>
  <si>
    <t xml:space="preserve">Naringin protects human nucleus pulposus cells against TNF‐&lt;i&gt;α&lt;/i&gt;‐induced inflammation, oxidative stress, and loss of cellular homeostasis by enhancing autophagic flux via AMPK/SIRT1 activation</t>
  </si>
  <si>
    <t xml:space="preserve">N-Cadherin Attenuates High Glucose-Induced Nucleus Pulposus Cell Senescence Through Regulation of the ROS/NF-κB Pathway</t>
  </si>
  <si>
    <t xml:space="preserve">Butein Activates Autophagy Through AMPK/TSC2/ULK1/mTOR Pathway to Inhibit IL-6 Expression in IL-1β Stimulated Human Chondrocytes</t>
  </si>
  <si>
    <t xml:space="preserve">PDK1 selectively phosphorylates Thr(308) on Akt and contributes to human platelet functional responses</t>
  </si>
  <si>
    <t xml:space="preserve">FOXO3a (Forkhead Transcription Factor O Subfamily Member 3a) Links Vascular Smooth Muscle Cell Apoptosis, Matrix Breakdown, Atherosclerosis, and Vascular Remodeling Through a Novel Pathway Involving MMP13 (Matrix Metalloproteinase 13)</t>
  </si>
  <si>
    <t xml:space="preserve">Nrf2-regulated PPARγ Expression Is Critical to Protection against Acute Lung Injury in Mice</t>
  </si>
  <si>
    <t xml:space="preserve">Arp2/3 inactivation causes intervertebral disc and cartilage degeneration with dysregulated TonEBP-mediated osmoadaptation</t>
  </si>
  <si>
    <t xml:space="preserve">Hypoxic induction of an HIF-1α–dependent bFGF autocrine loop drives angiogenesis in human endothelial cells</t>
  </si>
  <si>
    <t xml:space="preserve">Catabolic stress induces expression of hypoxia-inducible factor (HIF)-1α in articular chondrocytes: involvement of HIF-1α in the pathogenesis of osteoarthritis</t>
  </si>
  <si>
    <t xml:space="preserve">Peroxisome proliferator-activated receptor γ1 expression is diminished in human osteoarthritic cartilage and is downregulated by interleukin-1β in articular chondrocytes</t>
  </si>
  <si>
    <t xml:space="preserve">Linked decreases in liver kinase B1 and AMP-activated protein kinase activity modulate matrix catabolic responses to biomechanical injury in chondrocytes</t>
  </si>
  <si>
    <t xml:space="preserve">The Na+–H+exchanger-1 induces cytoskeletal changes involving reciprocal RhoA and Rac1 signaling, resulting in motility and invasion in MDA-MB-435 cells</t>
  </si>
  <si>
    <t xml:space="preserve">Oxidative stress as a key modulator of cell fate decision in osteoarthritis and osteoporosis: a narrative review</t>
  </si>
  <si>
    <t xml:space="preserve">Mulberroside A mitigates intervertebral disc degeneration by inhibiting MAPK and modulating Ppar-γ/NF-κB pathways</t>
  </si>
  <si>
    <t xml:space="preserve">Degenerated nucleus pulposus cells derived exosome carrying miR-27a-3p aggravates intervertebral disc degeneration by inducing M1 polarization of macrophages</t>
  </si>
  <si>
    <t xml:space="preserve">IL-17 mediates inflammatory reactions via p38/c-Fos and JNK/c-Jun activation in an AP-1-dependent manner in human nucleus pulposus cells</t>
  </si>
  <si>
    <t xml:space="preserve">IL-1β promotes ADAMTS enzyme-mediated aggrecan degradation through NF-κB in human intervertebral disc</t>
  </si>
  <si>
    <t xml:space="preserve">Swimming prevents cell death of chondrocytes via PI3K/AKT pathway in an experimental model</t>
  </si>
  <si>
    <t xml:space="preserve">Expression and regulation of neurotrophic and angiogenic factors during human intervertebral disc degeneration</t>
  </si>
  <si>
    <t xml:space="preserve">CCN family member 2/connective tissue growth factor (CCN2/CTGF) is regulated by Wnt–β-catenin signaling in nucleus pulposus cells</t>
  </si>
  <si>
    <t xml:space="preserve">cPLA2 phosphorylation at serine-515 and serine-505 is required for arachidonic acid release in vascular smooth muscle cells</t>
  </si>
  <si>
    <t xml:space="preserve">WNT5A Regulates Chondrocyte Differentiation through Differential Use of the CaN/NFAT and IKK/NF-κB Pathways</t>
  </si>
  <si>
    <t xml:space="preserve">10.1242/dev.134502</t>
  </si>
  <si>
    <t xml:space="preserve">AP-1 family members act with Sox9 to promote chondrocyte hypertrophy</t>
  </si>
  <si>
    <t xml:space="preserve">Force activates smooth muscle α-actin promoter activity through the Rho signaling pathway</t>
  </si>
  <si>
    <t xml:space="preserve">Focal adhesion kinase modulates Cdc42 activity downstream of positive and negative axon guidance cues</t>
  </si>
  <si>
    <t xml:space="preserve">Effects of Hesperidin on H₂O₂-Treated Chondrocytes and Cartilage in a Rat Osteoarthritis Model</t>
  </si>
  <si>
    <t xml:space="preserve">MEK/ERK Signaling Controls Osmoregulation of Nucleus Pulposus Cells of the Intervertebral Disc by Transactivation of TonEBP/OREBP</t>
  </si>
  <si>
    <t xml:space="preserve">SOX9 Governs Differentiation Stage-Specific Gene Expression in Growth Plate Chondrocytes via Direct Concomitant Transactivation and Repression</t>
  </si>
  <si>
    <t xml:space="preserve">mTOR Is Essential for the Proteotoxic Stress Response, HSF1 Activation and Heat Shock Protein Synthesis</t>
  </si>
  <si>
    <t xml:space="preserve">PKCε Signalling Activates ERK1/2, and Regulates Aggrecan, ADAMTS5, and miR377 Gene Expression in Human Nucleus Pulposus Cells</t>
  </si>
  <si>
    <t xml:space="preserve">Hyperglycemia Induces Cellular Hypoxia through Production of Mitochondrial ROS Followed by Suppression of Aquaporin-1</t>
  </si>
  <si>
    <t xml:space="preserve">Suppression of the HSF1‐mediated proteotoxic stress response by the metabolic stress sensor AMPK</t>
  </si>
  <si>
    <t xml:space="preserve">The PI3K/Akt pathway: a critical player in intervertebral disc degeneration</t>
  </si>
  <si>
    <t xml:space="preserve">Aquaporin 1 and 5 expression decreases during human intervertebral disc degeneration: novel HIF-1-mediated regulation of aquaporins in NP cells</t>
  </si>
  <si>
    <t xml:space="preserve">Curcumin exerts a protective effect on murine knee chondrocytes treated with IL-1β through blocking the NF-κB/HIF-2α signaling pathway</t>
  </si>
  <si>
    <t xml:space="preserve">&amp;lt;p&amp;gt;Overexpression of SOX9 alleviates the progression of human osteoarthritis in vitro and in vivo&amp;lt;/p&amp;gt;</t>
  </si>
  <si>
    <t xml:space="preserve">The Hippo-YAP Signaling Pathway in Osteoarthritis and Rheumatoid Arthritis</t>
  </si>
  <si>
    <t xml:space="preserve">Oxidative stress inhibits the proliferation, induces premature senescence and promotes a catabolic phenotype in human nucleus pulposus intervertebral disc cells</t>
  </si>
  <si>
    <t xml:space="preserve">Reduced tissue osmolarity increases TRPV4 expression and pro-inflammatory cytokines in intervertebral disc cells</t>
  </si>
  <si>
    <t xml:space="preserve">Evaluation of the association between runt-related transcription factor 2 expression and intervertebral disk aging in dogs</t>
  </si>
  <si>
    <t xml:space="preserve">Calcium and Mitochondrial Reactive Oxygen Species Generation: How to Read the Facts</t>
  </si>
  <si>
    <t xml:space="preserve">Unraveling the mechanisms of intervertebral disc degeneration: an exploration of the p38 MAPK signaling pathway</t>
  </si>
  <si>
    <t xml:space="preserve">The JNK signaling pathway in intervertebral disc degeneration</t>
  </si>
  <si>
    <t xml:space="preserve">The AMP-Dependent Protein Kinase (AMPK) Activator A-769662 Causes Arterial Relaxation by Reducing Cytosolic Free Calcium Independently of an Increase in AMPK Phosphorylation</t>
  </si>
  <si>
    <t xml:space="preserve">ER stress-induced YAP upregulation leads to chondrocyte phenotype loss in age-related osteoarthritis</t>
  </si>
  <si>
    <t xml:space="preserve">AQP3 and AQP5 Modulation in Response to Prolonged Oxidative Stress in Breast Cancer Cell Lines</t>
  </si>
  <si>
    <t xml:space="preserve">IGF-1 Signalling Regulates Mitochondria Dynamics and Turnover through a Conserved GSK-3β–Nrf2–BNIP3 Pathway</t>
  </si>
  <si>
    <t xml:space="preserve">Leptin Activates RhoA/ROCK Pathway to Induce Cytoskeleton Remodeling in Nucleus Pulposus Cells</t>
  </si>
  <si>
    <t xml:space="preserve">Role of p90RSK in Kidney and Other Diseases</t>
  </si>
  <si>
    <t xml:space="preserve">Novel NFκB Inhibitor SC75741 Mitigates Chondrocyte Degradation and Prevents Activated Fibroblast Transformation by Modulating miR-21/GDF-5/SOX5 Signaling</t>
  </si>
  <si>
    <t xml:space="preserve">Activation of Hypoxia-Inducible Factor-1α Signaling Pathway Has the Protective Effect of Intervertebral Disc Degeneration</t>
  </si>
  <si>
    <t xml:space="preserve">Reviewing the Regulators of COL1A1</t>
  </si>
  <si>
    <t xml:space="preserve">Maslinic acid alleviates intervertebral disc                     degeneration by inhibiting the PI3K/AKT and NF-&amp;amp;kappa;B signaling pathways</t>
  </si>
  <si>
    <t xml:space="preserve">Sirtuin 1 participates in intervertebral disc degeneration via the nicotinamide phosphoribosyl transferase/nicotinamide adenine dinucleotide/sirtuin 1 pathway responsible for regulating autophagy of nucleus pulposus cells</t>
  </si>
  <si>
    <t xml:space="preserve">Collagen-derived N-acetylated proline-glycine-proline upregulates the expression of pro-inflammatory cytokines and extracellular matrix proteases in nucleus pulposus cells via the NF-κB and MAPK signaling pathways</t>
  </si>
  <si>
    <t xml:space="preserve">Hypoxia promotes maintenance of the chondrogenic phenotype in rat growth plate chondrocytes through the HIF-1α/YAP signaling pathway</t>
  </si>
  <si>
    <t xml:space="preserve">Myocardin‑related transcription factor A nuclear translocation contributes to mechanical overload‑induced nucleus pulposus fibrosis in rats with intervertebral disc degeneration</t>
  </si>
  <si>
    <t xml:space="preserve">Tumor necrosis factor-α induces ADAMTS-4 expression in human osteoarthritis chondrocytes</t>
  </si>
  <si>
    <t xml:space="preserve">Cutting Edge: Differential Regulation of PTEN by TCR, Akt, and FoxO1 Controls CD4+ T Cell Fate Decisions</t>
  </si>
</sst>
</file>

<file path=xl/styles.xml><?xml version="1.0" encoding="utf-8"?>
<styleSheet xmlns="http://schemas.openxmlformats.org/spreadsheetml/2006/main">
  <numFmts count="3">
    <numFmt numFmtId="164" formatCode="General"/>
    <numFmt numFmtId="165" formatCode="\+0;\-0;0"/>
    <numFmt numFmtId="166" formatCode="0.0%"/>
  </numFmts>
  <fonts count="17">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10"/>
      <color rgb="FF595959"/>
      <name val="Arial"/>
      <family val="0"/>
      <charset val="1"/>
    </font>
    <font>
      <b val="true"/>
      <sz val="12"/>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u val="single"/>
      <sz val="10"/>
      <color rgb="FF0563C1"/>
      <name val="Arial"/>
      <family val="0"/>
      <charset val="1"/>
    </font>
    <font>
      <sz val="10"/>
      <name val="Arial"/>
      <family val="2"/>
    </font>
    <font>
      <b val="true"/>
      <sz val="16"/>
      <color rgb="FF1F3864"/>
      <name val="Arial"/>
      <family val="0"/>
      <charset val="1"/>
    </font>
    <font>
      <i val="true"/>
      <sz val="9"/>
      <color rgb="FF595959"/>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864"/>
        <bgColor rgb="FF333333"/>
      </patternFill>
    </fill>
    <fill>
      <patternFill patternType="solid">
        <fgColor rgb="FFD9E2F3"/>
        <bgColor rgb="FFD9D9D9"/>
      </patternFill>
    </fill>
  </fills>
  <borders count="3">
    <border diagonalUp="false" diagonalDown="false">
      <left/>
      <right/>
      <top/>
      <bottom/>
      <diagonal/>
    </border>
    <border diagonalUp="false" diagonalDown="false">
      <left/>
      <right/>
      <top/>
      <bottom style="medium">
        <color rgb="FF2E5395"/>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2" borderId="2" xfId="0" applyFont="true" applyBorder="true" applyAlignment="true" applyProtection="false">
      <alignment horizontal="general" vertical="center" textRotation="0" wrapText="true" indent="0" shrinkToFit="false"/>
      <protection locked="true" hidden="false"/>
    </xf>
    <xf numFmtId="164" fontId="8" fillId="0" borderId="2" xfId="0" applyFont="true" applyBorder="true" applyAlignment="true" applyProtection="false">
      <alignment horizontal="general" vertical="top" textRotation="0" wrapText="false" indent="0" shrinkToFit="false"/>
      <protection locked="true" hidden="false"/>
    </xf>
    <xf numFmtId="165" fontId="8" fillId="0" borderId="2" xfId="0" applyFont="true" applyBorder="true" applyAlignment="true" applyProtection="false">
      <alignment horizontal="center"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9" fillId="2" borderId="2" xfId="0" applyFont="true" applyBorder="true" applyAlignment="false" applyProtection="false">
      <alignment horizontal="general" vertical="bottom" textRotation="0" wrapText="false" indent="0" shrinkToFit="false"/>
      <protection locked="true" hidden="false"/>
    </xf>
    <xf numFmtId="166" fontId="0" fillId="0" borderId="2" xfId="0" applyFont="false" applyBorder="true" applyAlignment="false" applyProtection="false">
      <alignment horizontal="general" vertical="bottom" textRotation="0" wrapText="false" indent="0" shrinkToFit="false"/>
      <protection locked="true" hidden="false"/>
    </xf>
    <xf numFmtId="164" fontId="7" fillId="3" borderId="2" xfId="0" applyFont="true" applyBorder="true" applyAlignment="false" applyProtection="false">
      <alignment horizontal="general" vertical="bottom" textRotation="0" wrapText="false" indent="0" shrinkToFit="false"/>
      <protection locked="true" hidden="false"/>
    </xf>
    <xf numFmtId="166" fontId="0" fillId="3" borderId="2"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5" fontId="8" fillId="0" borderId="2" xfId="0" applyFont="true" applyBorder="true" applyAlignment="true" applyProtection="false">
      <alignment horizontal="general"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1E7B34"/>
          <bgColor rgb="FF000000"/>
        </patternFill>
      </fill>
    </dxf>
    <dxf>
      <fill>
        <patternFill patternType="solid">
          <fgColor rgb="FFB42318"/>
          <bgColor rgb="FF000000"/>
        </patternFill>
      </fill>
    </dxf>
    <dxf>
      <fill>
        <patternFill patternType="solid">
          <fgColor rgb="FF0563C1"/>
          <bgColor rgb="FF000000"/>
        </patternFill>
      </fill>
    </dxf>
    <dxf>
      <fill>
        <patternFill patternType="solid">
          <fgColor rgb="FFFFF4CE"/>
          <bgColor rgb="FF000000"/>
        </patternFill>
      </fill>
    </dxf>
    <dxf>
      <font>
        <name val="Arial"/>
        <charset val="1"/>
        <family val="0"/>
        <b val="1"/>
        <color rgb="FF1E7B34"/>
        <sz val="10"/>
      </font>
    </dxf>
    <dxf>
      <font>
        <name val="Arial"/>
        <charset val="1"/>
        <family val="0"/>
        <b val="1"/>
        <color rgb="FFB42318"/>
        <sz val="10"/>
      </font>
    </dxf>
    <dxf>
      <fill>
        <patternFill>
          <bgColor rgb="FFF8D7DA"/>
        </patternFill>
      </fill>
    </dxf>
    <dxf>
      <fill>
        <patternFill>
          <bgColor rgb="FFFFF4CE"/>
        </patternFill>
      </fill>
    </dxf>
  </dxfs>
  <colors>
    <indexedColors>
      <rgbColor rgb="FF000000"/>
      <rgbColor rgb="FFFFFFFF"/>
      <rgbColor rgb="FFFF0000"/>
      <rgbColor rgb="FF00FF00"/>
      <rgbColor rgb="FF0000FF"/>
      <rgbColor rgb="FFFFFF00"/>
      <rgbColor rgb="FFFF00FF"/>
      <rgbColor rgb="FF00FFFF"/>
      <rgbColor rgb="FF800000"/>
      <rgbColor rgb="FF1E7B34"/>
      <rgbColor rgb="FF000080"/>
      <rgbColor rgb="FF808000"/>
      <rgbColor rgb="FF800080"/>
      <rgbColor rgb="FF008080"/>
      <rgbColor rgb="FFBFBFBF"/>
      <rgbColor rgb="FF878787"/>
      <rgbColor rgb="FF9999FF"/>
      <rgbColor rgb="FFC0504D"/>
      <rgbColor rgb="FFFFF4CE"/>
      <rgbColor rgb="FFD9E2F3"/>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9F9F9"/>
      <rgbColor rgb="FFCCFFCC"/>
      <rgbColor rgb="FFFFFF99"/>
      <rgbColor rgb="FF99CCFF"/>
      <rgbColor rgb="FFFF99CC"/>
      <rgbColor rgb="FFCC99FF"/>
      <rgbColor rgb="FFF8D7DA"/>
      <rgbColor rgb="FF4F81BD"/>
      <rgbColor rgb="FF33CCCC"/>
      <rgbColor rgb="FF99CC00"/>
      <rgbColor rgb="FFFFCC00"/>
      <rgbColor rgb="FFC9A227"/>
      <rgbColor rgb="FFFF6600"/>
      <rgbColor rgb="FF595959"/>
      <rgbColor rgb="FF969696"/>
      <rgbColor rgb="FF1F3864"/>
      <rgbColor rgb="FF4F9D69"/>
      <rgbColor rgb="FF003300"/>
      <rgbColor rgb="FF333300"/>
      <rgbColor rgb="FFB42318"/>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Cell type of supporting evidence</a:t>
            </a:r>
          </a:p>
        </c:rich>
      </c:tx>
      <c:overlay val="0"/>
      <c:spPr>
        <a:noFill/>
        <a:ln w="0">
          <a:noFill/>
        </a:ln>
      </c:spPr>
    </c:title>
    <c:autoTitleDeleted val="0"/>
    <c:plotArea>
      <c:barChart>
        <c:barDir val="bar"/>
        <c:grouping val="clustered"/>
        <c:varyColors val="0"/>
        <c:ser>
          <c:idx val="0"/>
          <c:order val="0"/>
          <c:tx>
            <c:strRef>
              <c:f>'Summary statistics'!B15</c:f>
              <c:strCache>
                <c:ptCount val="1"/>
                <c:pt idx="0">
                  <c:v>Interactions</c:v>
                </c:pt>
              </c:strCache>
            </c:strRef>
          </c:tx>
          <c:spPr>
            <a:solidFill>
              <a:srgbClr val="2E5395"/>
            </a:solidFill>
            <a:ln w="12600">
              <a:solidFill>
                <a:srgbClr val="F9F9F9"/>
              </a:solidFill>
              <a:round/>
            </a:ln>
          </c:spPr>
          <c:invertIfNegative val="0"/>
          <c:dLbls>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'Summary statistics'!$A$16:$A$18</c:f>
              <c:strCache>
                <c:ptCount val="3"/>
                <c:pt idx="0">
                  <c:v>NP / nucleus pulposus</c:v>
                </c:pt>
                <c:pt idx="1">
                  <c:v>Chondrocyte / cartilage</c:v>
                </c:pt>
                <c:pt idx="2">
                  <c:v>Other / not reported</c:v>
                </c:pt>
              </c:strCache>
            </c:strRef>
          </c:cat>
          <c:val>
            <c:numRef>
              <c:f>'Summary statistics'!$B$16:$B$18</c:f>
              <c:numCache>
                <c:formatCode>General</c:formatCode>
                <c:ptCount val="3"/>
                <c:pt idx="0">
                  <c:v>108</c:v>
                </c:pt>
                <c:pt idx="1">
                  <c:v>75</c:v>
                </c:pt>
                <c:pt idx="2">
                  <c:v>170</c:v>
                </c:pt>
              </c:numCache>
            </c:numRef>
          </c:val>
        </c:ser>
        <c:gapWidth val="150"/>
        <c:overlap val="0"/>
        <c:axId val="73403449"/>
        <c:axId val="45122814"/>
      </c:barChart>
      <c:catAx>
        <c:axId val="7340344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5122814"/>
        <c:crosses val="autoZero"/>
        <c:auto val="1"/>
        <c:lblAlgn val="ctr"/>
        <c:lblOffset val="100"/>
        <c:noMultiLvlLbl val="0"/>
      </c:catAx>
      <c:valAx>
        <c:axId val="45122814"/>
        <c:scaling>
          <c:orientation val="minMax"/>
        </c:scaling>
        <c:delete val="0"/>
        <c:axPos val="l"/>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Interactions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3403449"/>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Species of experimental model</a:t>
            </a:r>
          </a:p>
        </c:rich>
      </c:tx>
      <c:overlay val="0"/>
      <c:spPr>
        <a:noFill/>
        <a:ln w="0">
          <a:noFill/>
        </a:ln>
      </c:spPr>
    </c:title>
    <c:autoTitleDeleted val="0"/>
    <c:plotArea>
      <c:barChart>
        <c:barDir val="bar"/>
        <c:grouping val="clustered"/>
        <c:varyColors val="0"/>
        <c:ser>
          <c:idx val="0"/>
          <c:order val="0"/>
          <c:tx>
            <c:strRef>
              <c:f>'Summary statistics'!B23</c:f>
              <c:strCache>
                <c:ptCount val="1"/>
                <c:pt idx="0">
                  <c:v>Interactions</c:v>
                </c:pt>
              </c:strCache>
            </c:strRef>
          </c:tx>
          <c:spPr>
            <a:solidFill>
              <a:srgbClr val="4F9D69"/>
            </a:solidFill>
            <a:ln w="12600">
              <a:solidFill>
                <a:srgbClr val="F9F9F9"/>
              </a:solidFill>
              <a:round/>
            </a:ln>
          </c:spPr>
          <c:invertIfNegative val="0"/>
          <c:dLbls>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'Summary statistics'!$A$24:$A$26</c:f>
              <c:strCache>
                <c:ptCount val="3"/>
                <c:pt idx="0">
                  <c:v>Human</c:v>
                </c:pt>
                <c:pt idx="1">
                  <c:v>Animal</c:v>
                </c:pt>
                <c:pt idx="2">
                  <c:v>Other / unspecified</c:v>
                </c:pt>
              </c:strCache>
            </c:strRef>
          </c:cat>
          <c:val>
            <c:numRef>
              <c:f>'Summary statistics'!$B$24:$B$26</c:f>
              <c:numCache>
                <c:formatCode>General</c:formatCode>
                <c:ptCount val="3"/>
                <c:pt idx="0">
                  <c:v>114</c:v>
                </c:pt>
                <c:pt idx="1">
                  <c:v>75</c:v>
                </c:pt>
                <c:pt idx="2">
                  <c:v>164</c:v>
                </c:pt>
              </c:numCache>
            </c:numRef>
          </c:val>
        </c:ser>
        <c:gapWidth val="150"/>
        <c:overlap val="0"/>
        <c:axId val="68343087"/>
        <c:axId val="24601820"/>
      </c:barChart>
      <c:catAx>
        <c:axId val="683430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4601820"/>
        <c:crosses val="autoZero"/>
        <c:auto val="1"/>
        <c:lblAlgn val="ctr"/>
        <c:lblOffset val="100"/>
        <c:noMultiLvlLbl val="0"/>
      </c:catAx>
      <c:valAx>
        <c:axId val="24601820"/>
        <c:scaling>
          <c:orientation val="minMax"/>
        </c:scaling>
        <c:delete val="0"/>
        <c:axPos val="l"/>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Interactions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8343087"/>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Experimental setting</a:t>
            </a:r>
          </a:p>
        </c:rich>
      </c:tx>
      <c:overlay val="0"/>
      <c:spPr>
        <a:noFill/>
        <a:ln w="0">
          <a:noFill/>
        </a:ln>
      </c:spPr>
    </c:title>
    <c:autoTitleDeleted val="0"/>
    <c:plotArea>
      <c:barChart>
        <c:barDir val="bar"/>
        <c:grouping val="clustered"/>
        <c:varyColors val="0"/>
        <c:ser>
          <c:idx val="0"/>
          <c:order val="0"/>
          <c:tx>
            <c:strRef>
              <c:f>'Summary statistics'!B31</c:f>
              <c:strCache>
                <c:ptCount val="1"/>
                <c:pt idx="0">
                  <c:v>Interactions</c:v>
                </c:pt>
              </c:strCache>
            </c:strRef>
          </c:tx>
          <c:spPr>
            <a:solidFill>
              <a:srgbClr val="C0504D"/>
            </a:solidFill>
            <a:ln w="12600">
              <a:solidFill>
                <a:srgbClr val="F9F9F9"/>
              </a:solidFill>
              <a:round/>
            </a:ln>
          </c:spPr>
          <c:invertIfNegative val="0"/>
          <c:dLbls>
            <c:txPr>
              <a:bodyPr wrap="square"/>
              <a:lstStyle/>
              <a:p>
                <a:pPr>
                  <a:defRPr sz="1000" b="0" u="none" strike="noStrike">
                    <a:solidFill>
                      <a:srgbClr val="000000"/>
                    </a:solidFill>
                    <a:uFillTx/>
                    <a:latin typeface="Calibri"/>
                  </a:defRPr>
                </a:pPr>
              </a:p>
            </c:txPr>
            <c:dLblPos val="outEnd"/>
            <c:showLegendKey val="0"/>
            <c:showVal val="1"/>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'Summary statistics'!$A$32:$A$36</c:f>
              <c:strCache>
                <c:ptCount val="5"/>
                <c:pt idx="0">
                  <c:v>In vitro</c:v>
                </c:pt>
                <c:pt idx="1">
                  <c:v>Ex vivo</c:v>
                </c:pt>
                <c:pt idx="2">
                  <c:v>In vivo</c:v>
                </c:pt>
                <c:pt idx="3">
                  <c:v>Mixed</c:v>
                </c:pt>
                <c:pt idx="4">
                  <c:v>Not reported</c:v>
                </c:pt>
              </c:strCache>
            </c:strRef>
          </c:cat>
          <c:val>
            <c:numRef>
              <c:f>'Summary statistics'!$B$32:$B$36</c:f>
              <c:numCache>
                <c:formatCode>General</c:formatCode>
                <c:ptCount val="5"/>
                <c:pt idx="0">
                  <c:v>166</c:v>
                </c:pt>
                <c:pt idx="1">
                  <c:v>16</c:v>
                </c:pt>
                <c:pt idx="2">
                  <c:v>7</c:v>
                </c:pt>
                <c:pt idx="3">
                  <c:v>10</c:v>
                </c:pt>
                <c:pt idx="4">
                  <c:v>154</c:v>
                </c:pt>
              </c:numCache>
            </c:numRef>
          </c:val>
        </c:ser>
        <c:gapWidth val="150"/>
        <c:overlap val="0"/>
        <c:axId val="79459271"/>
        <c:axId val="97655753"/>
      </c:barChart>
      <c:catAx>
        <c:axId val="7945927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655753"/>
        <c:crosses val="autoZero"/>
        <c:auto val="1"/>
        <c:lblAlgn val="ctr"/>
        <c:lblOffset val="100"/>
        <c:noMultiLvlLbl val="0"/>
      </c:catAx>
      <c:valAx>
        <c:axId val="97655753"/>
        <c:scaling>
          <c:orientation val="minMax"/>
        </c:scaling>
        <c:delete val="0"/>
        <c:axPos val="l"/>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Interactions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459271"/>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Interactions by functional module</a:t>
            </a:r>
          </a:p>
        </c:rich>
      </c:tx>
      <c:overlay val="0"/>
      <c:spPr>
        <a:noFill/>
        <a:ln w="0">
          <a:noFill/>
        </a:ln>
      </c:spPr>
    </c:title>
    <c:autoTitleDeleted val="0"/>
    <c:plotArea>
      <c:barChart>
        <c:barDir val="bar"/>
        <c:grouping val="clustered"/>
        <c:varyColors val="0"/>
        <c:ser>
          <c:idx val="0"/>
          <c:order val="0"/>
          <c:tx>
            <c:strRef>
              <c:f>'Summary statistics'!B41</c:f>
              <c:strCache>
                <c:ptCount val="1"/>
                <c:pt idx="0">
                  <c:v>Outgoing (source)</c:v>
                </c:pt>
              </c:strCache>
            </c:strRef>
          </c:tx>
          <c:spPr>
            <a:solidFill>
              <a:srgbClr val="4F81BD"/>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'Summary statistics'!$A$42:$A$53</c:f>
              <c:strCache>
                <c:ptCount val="12"/>
                <c:pt idx="0">
                  <c:v>Cytokines, chemokines, proteases &amp; others</c:v>
                </c:pt>
                <c:pt idx="1">
                  <c:v>Growth factors</c:v>
                </c:pt>
                <c:pt idx="2">
                  <c:v>Transcription Factors</c:v>
                </c:pt>
                <c:pt idx="3">
                  <c:v>Ion channels &amp; related</c:v>
                </c:pt>
                <c:pt idx="4">
                  <c:v>Metabolic &amp; related</c:v>
                </c:pt>
                <c:pt idx="5">
                  <c:v>ECM anabolism &amp; phenotype markers</c:v>
                </c:pt>
                <c:pt idx="6">
                  <c:v>Mechanical stimuli &amp; its receptors</c:v>
                </c:pt>
                <c:pt idx="7">
                  <c:v>Cell survival, apoptosis &amp; mitophagy/DNA-damage</c:v>
                </c:pt>
                <c:pt idx="8">
                  <c:v>Oxidative-stress defense &amp; proteostasis</c:v>
                </c:pt>
                <c:pt idx="9">
                  <c:v>MAPK &amp; stress-activated kinases</c:v>
                </c:pt>
                <c:pt idx="10">
                  <c:v>Rho GTPases, cytoskeletal &amp; Hippo regulators</c:v>
                </c:pt>
                <c:pt idx="11">
                  <c:v>Other / unclassified</c:v>
                </c:pt>
              </c:strCache>
            </c:strRef>
          </c:cat>
          <c:val>
            <c:numRef>
              <c:f>'Summary statistics'!$B$42:$B$53</c:f>
              <c:numCache>
                <c:formatCode>General</c:formatCode>
                <c:ptCount val="12"/>
                <c:pt idx="0">
                  <c:v>0</c:v>
                </c:pt>
                <c:pt idx="1">
                  <c:v>0</c:v>
                </c:pt>
                <c:pt idx="2">
                  <c:v>131</c:v>
                </c:pt>
                <c:pt idx="3">
                  <c:v>20</c:v>
                </c:pt>
                <c:pt idx="4">
                  <c:v>57</c:v>
                </c:pt>
                <c:pt idx="5">
                  <c:v>0</c:v>
                </c:pt>
                <c:pt idx="6">
                  <c:v>27</c:v>
                </c:pt>
                <c:pt idx="7">
                  <c:v>6</c:v>
                </c:pt>
                <c:pt idx="8">
                  <c:v>16</c:v>
                </c:pt>
                <c:pt idx="9">
                  <c:v>43</c:v>
                </c:pt>
                <c:pt idx="10">
                  <c:v>40</c:v>
                </c:pt>
                <c:pt idx="11">
                  <c:v>13</c:v>
                </c:pt>
              </c:numCache>
            </c:numRef>
          </c:val>
        </c:ser>
        <c:ser>
          <c:idx val="1"/>
          <c:order val="1"/>
          <c:tx>
            <c:strRef>
              <c:f>'Summary statistics'!C41</c:f>
              <c:strCache>
                <c:ptCount val="1"/>
                <c:pt idx="0">
                  <c:v>Incoming (target)</c:v>
                </c:pt>
              </c:strCache>
            </c:strRef>
          </c:tx>
          <c:spPr>
            <a:solidFill>
              <a:srgbClr val="C0504D"/>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'Summary statistics'!$A$42:$A$53</c:f>
              <c:strCache>
                <c:ptCount val="12"/>
                <c:pt idx="0">
                  <c:v>Cytokines, chemokines, proteases &amp; others</c:v>
                </c:pt>
                <c:pt idx="1">
                  <c:v>Growth factors</c:v>
                </c:pt>
                <c:pt idx="2">
                  <c:v>Transcription Factors</c:v>
                </c:pt>
                <c:pt idx="3">
                  <c:v>Ion channels &amp; related</c:v>
                </c:pt>
                <c:pt idx="4">
                  <c:v>Metabolic &amp; related</c:v>
                </c:pt>
                <c:pt idx="5">
                  <c:v>ECM anabolism &amp; phenotype markers</c:v>
                </c:pt>
                <c:pt idx="6">
                  <c:v>Mechanical stimuli &amp; its receptors</c:v>
                </c:pt>
                <c:pt idx="7">
                  <c:v>Cell survival, apoptosis &amp; mitophagy/DNA-damage</c:v>
                </c:pt>
                <c:pt idx="8">
                  <c:v>Oxidative-stress defense &amp; proteostasis</c:v>
                </c:pt>
                <c:pt idx="9">
                  <c:v>MAPK &amp; stress-activated kinases</c:v>
                </c:pt>
                <c:pt idx="10">
                  <c:v>Rho GTPases, cytoskeletal &amp; Hippo regulators</c:v>
                </c:pt>
                <c:pt idx="11">
                  <c:v>Other / unclassified</c:v>
                </c:pt>
              </c:strCache>
            </c:strRef>
          </c:cat>
          <c:val>
            <c:numRef>
              <c:f>'Summary statistics'!$C$42:$C$53</c:f>
              <c:numCache>
                <c:formatCode>General</c:formatCode>
                <c:ptCount val="12"/>
                <c:pt idx="0">
                  <c:v>40</c:v>
                </c:pt>
                <c:pt idx="1">
                  <c:v>32</c:v>
                </c:pt>
                <c:pt idx="2">
                  <c:v>64</c:v>
                </c:pt>
                <c:pt idx="3">
                  <c:v>25</c:v>
                </c:pt>
                <c:pt idx="4">
                  <c:v>64</c:v>
                </c:pt>
                <c:pt idx="5">
                  <c:v>19</c:v>
                </c:pt>
                <c:pt idx="6">
                  <c:v>15</c:v>
                </c:pt>
                <c:pt idx="7">
                  <c:v>19</c:v>
                </c:pt>
                <c:pt idx="8">
                  <c:v>7</c:v>
                </c:pt>
                <c:pt idx="9">
                  <c:v>19</c:v>
                </c:pt>
                <c:pt idx="10">
                  <c:v>23</c:v>
                </c:pt>
                <c:pt idx="11">
                  <c:v>26</c:v>
                </c:pt>
              </c:numCache>
            </c:numRef>
          </c:val>
        </c:ser>
        <c:gapWidth val="150"/>
        <c:overlap val="0"/>
        <c:axId val="20018212"/>
        <c:axId val="18580956"/>
      </c:barChart>
      <c:catAx>
        <c:axId val="200182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580956"/>
        <c:crosses val="autoZero"/>
        <c:auto val="1"/>
        <c:lblAlgn val="ctr"/>
        <c:lblOffset val="100"/>
        <c:noMultiLvlLbl val="0"/>
      </c:catAx>
      <c:valAx>
        <c:axId val="18580956"/>
        <c:scaling>
          <c:orientation val="minMax"/>
        </c:scaling>
        <c:delete val="0"/>
        <c:axPos val="l"/>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Interactions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01821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12</xdr:col>
      <xdr:colOff>399240</xdr:colOff>
      <xdr:row>15</xdr:row>
      <xdr:rowOff>53640</xdr:rowOff>
    </xdr:to>
    <xdr:graphicFrame>
      <xdr:nvGraphicFramePr>
        <xdr:cNvPr id="1" name="Chart 1"/>
        <xdr:cNvGraphicFramePr/>
      </xdr:nvGraphicFramePr>
      <xdr:xfrm>
        <a:off x="8599320" y="631080"/>
        <a:ext cx="4679640" cy="23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17</xdr:row>
      <xdr:rowOff>0</xdr:rowOff>
    </xdr:from>
    <xdr:to>
      <xdr:col>12</xdr:col>
      <xdr:colOff>399240</xdr:colOff>
      <xdr:row>29</xdr:row>
      <xdr:rowOff>53640</xdr:rowOff>
    </xdr:to>
    <xdr:graphicFrame>
      <xdr:nvGraphicFramePr>
        <xdr:cNvPr id="2" name="Chart 2"/>
        <xdr:cNvGraphicFramePr/>
      </xdr:nvGraphicFramePr>
      <xdr:xfrm>
        <a:off x="8599320" y="3298320"/>
        <a:ext cx="4679640" cy="23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31</xdr:row>
      <xdr:rowOff>0</xdr:rowOff>
    </xdr:from>
    <xdr:to>
      <xdr:col>12</xdr:col>
      <xdr:colOff>399240</xdr:colOff>
      <xdr:row>43</xdr:row>
      <xdr:rowOff>53640</xdr:rowOff>
    </xdr:to>
    <xdr:graphicFrame>
      <xdr:nvGraphicFramePr>
        <xdr:cNvPr id="3" name="Chart 3"/>
        <xdr:cNvGraphicFramePr/>
      </xdr:nvGraphicFramePr>
      <xdr:xfrm>
        <a:off x="8599320" y="5965200"/>
        <a:ext cx="4679640" cy="23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47</xdr:row>
      <xdr:rowOff>0</xdr:rowOff>
    </xdr:from>
    <xdr:to>
      <xdr:col>15</xdr:col>
      <xdr:colOff>364680</xdr:colOff>
      <xdr:row>65</xdr:row>
      <xdr:rowOff>170640</xdr:rowOff>
    </xdr:to>
    <xdr:graphicFrame>
      <xdr:nvGraphicFramePr>
        <xdr:cNvPr id="4" name="Chart 4"/>
        <xdr:cNvGraphicFramePr/>
      </xdr:nvGraphicFramePr>
      <xdr:xfrm>
        <a:off x="8599320" y="9013320"/>
        <a:ext cx="6479640" cy="35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Interactions" displayName="Interactions" ref="A1:S354" headerRowCount="1" totalsRowCount="0" totalsRowShown="0">
  <autoFilter ref="A1:S354"/>
  <tableColumns count="19">
    <tableColumn id="1" name="Interaction ID"/>
    <tableColumn id="2" name="Source"/>
    <tableColumn id="3" name="Regulation"/>
    <tableColumn id="4" name="Target"/>
    <tableColumn id="5" name="Sign"/>
    <tableColumn id="6" name="Source module"/>
    <tableColumn id="7" name="Target module"/>
    <tableColumn id="8" name="Cell type (as reported)"/>
    <tableColumn id="9" name="Cell-type group"/>
    <tableColumn id="10" name="Experimental model (as reported)"/>
    <tableColumn id="11" name="Species group"/>
    <tableColumn id="12" name="Culture (as reported)"/>
    <tableColumn id="13" name="Culture group"/>
    <tableColumn id="14" name="Reference(s)"/>
    <tableColumn id="15" name="DOI(s)"/>
    <tableColumn id="16" name="PMID(s)"/>
    <tableColumn id="17" name="Evidence note"/>
    <tableColumn id="18" name="Retraction screen"/>
    <tableColumn id="19" name="Also cited in falsification benchmark (Table S2)"/>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i.org/10.1016/j.bbrc.2017.05.086" TargetMode="External"/><Relationship Id="rId3" Type="http://schemas.openxmlformats.org/officeDocument/2006/relationships/hyperlink" Target="https://doi.org/10.1111/jcmm.18048" TargetMode="External"/><Relationship Id="rId4" Type="http://schemas.openxmlformats.org/officeDocument/2006/relationships/hyperlink" Target="https://doi.org/10.1002/jcp.21904" TargetMode="External"/><Relationship Id="rId5" Type="http://schemas.openxmlformats.org/officeDocument/2006/relationships/hyperlink" Target="https://doi.org/10.1016/j.lfs.2019.116565" TargetMode="External"/><Relationship Id="rId6" Type="http://schemas.openxmlformats.org/officeDocument/2006/relationships/hyperlink" Target="https://doi.org/10.1186/s12967-016-0833-9" TargetMode="External"/><Relationship Id="rId7" Type="http://schemas.openxmlformats.org/officeDocument/2006/relationships/hyperlink" Target="https://doi.org/10.1186/s13018-015-0296-3" TargetMode="External"/><Relationship Id="rId8" Type="http://schemas.openxmlformats.org/officeDocument/2006/relationships/hyperlink" Target="https://doi.org/10.3892/mmr.2013.1729" TargetMode="External"/><Relationship Id="rId9" Type="http://schemas.openxmlformats.org/officeDocument/2006/relationships/hyperlink" Target="https://doi.org/10.1111/jcmm.18048" TargetMode="External"/><Relationship Id="rId10" Type="http://schemas.openxmlformats.org/officeDocument/2006/relationships/hyperlink" Target="https://doi.org/10.1016/j.joca.2017.08.019" TargetMode="External"/><Relationship Id="rId11" Type="http://schemas.openxmlformats.org/officeDocument/2006/relationships/hyperlink" Target="https://doi.org/10.1160/th13-06-0484" TargetMode="External"/><Relationship Id="rId12" Type="http://schemas.openxmlformats.org/officeDocument/2006/relationships/hyperlink" Target="https://doi.org/10.1126/science.277.5325.567" TargetMode="External"/><Relationship Id="rId13" Type="http://schemas.openxmlformats.org/officeDocument/2006/relationships/hyperlink" Target="https://doi.org/10.1016/j.joca.2017.08.019" TargetMode="External"/><Relationship Id="rId14" Type="http://schemas.openxmlformats.org/officeDocument/2006/relationships/hyperlink" Target="https://doi.org/10.1160/th13-06-0484" TargetMode="External"/><Relationship Id="rId15" Type="http://schemas.openxmlformats.org/officeDocument/2006/relationships/hyperlink" Target="https://doi.org/10.1126/science.277.5325.567" TargetMode="External"/><Relationship Id="rId16" Type="http://schemas.openxmlformats.org/officeDocument/2006/relationships/hyperlink" Target="https://doi.org/10.1016/j.cmet.2005.06.005" TargetMode="External"/><Relationship Id="rId17" Type="http://schemas.openxmlformats.org/officeDocument/2006/relationships/hyperlink" Target="https://doi.org/10.1186/ar4254" TargetMode="External"/><Relationship Id="rId18" Type="http://schemas.openxmlformats.org/officeDocument/2006/relationships/hyperlink" Target="https://doi.org/10.1016/j.freeradbiomed.2009.02.019" TargetMode="External"/><Relationship Id="rId19" Type="http://schemas.openxmlformats.org/officeDocument/2006/relationships/hyperlink" Target="https://doi.org/10.1038/s42255-019-0157-1" TargetMode="External"/><Relationship Id="rId20" Type="http://schemas.openxmlformats.org/officeDocument/2006/relationships/hyperlink" Target="https://doi.org/10.1007/s00418-005-0026-8" TargetMode="External"/><Relationship Id="rId21" Type="http://schemas.openxmlformats.org/officeDocument/2006/relationships/hyperlink" Target="https://doi.org/10.1186/s12967-016-0833-9" TargetMode="External"/><Relationship Id="rId22" Type="http://schemas.openxmlformats.org/officeDocument/2006/relationships/hyperlink" Target="https://doi.org/10.1186/s12967-016-0833-9" TargetMode="External"/><Relationship Id="rId23" Type="http://schemas.openxmlformats.org/officeDocument/2006/relationships/hyperlink" Target="https://doi.org/10.1002/1529-0131(200103)44:3%3C595::aid-anr108%3E3.0.co;2-8" TargetMode="External"/><Relationship Id="rId24" Type="http://schemas.openxmlformats.org/officeDocument/2006/relationships/hyperlink" Target="https://doi.org/10.1242/dev.134502" TargetMode="External"/><Relationship Id="rId25" Type="http://schemas.openxmlformats.org/officeDocument/2006/relationships/hyperlink" Target="https://doi.org/10.18632/oncotarget.3631" TargetMode="External"/><Relationship Id="rId26" Type="http://schemas.openxmlformats.org/officeDocument/2006/relationships/hyperlink" Target="https://doi.org/10.1038/s41598-021-81838-9" TargetMode="External"/><Relationship Id="rId27" Type="http://schemas.openxmlformats.org/officeDocument/2006/relationships/hyperlink" Target="https://doi.org/10.1371/journal.pone.0158619" TargetMode="External"/><Relationship Id="rId28" Type="http://schemas.openxmlformats.org/officeDocument/2006/relationships/hyperlink" Target="https://doi.org/10.18632/oncotarget.3631" TargetMode="External"/><Relationship Id="rId29" Type="http://schemas.openxmlformats.org/officeDocument/2006/relationships/hyperlink" Target="https://doi.org/10.1038/s41598-021-81838-9" TargetMode="External"/><Relationship Id="rId30" Type="http://schemas.openxmlformats.org/officeDocument/2006/relationships/hyperlink" Target="https://doi.org/10.3390/antiox13060626" TargetMode="External"/><Relationship Id="rId31" Type="http://schemas.openxmlformats.org/officeDocument/2006/relationships/hyperlink" Target="https://doi.org/10.1016/j.ajpath.2024.05.004" TargetMode="External"/><Relationship Id="rId32" Type="http://schemas.openxmlformats.org/officeDocument/2006/relationships/hyperlink" Target="https://doi.org/10.1186/s13018-023-03815-4" TargetMode="External"/><Relationship Id="rId33" Type="http://schemas.openxmlformats.org/officeDocument/2006/relationships/hyperlink" Target="https://doi.org/10.12659/msm.913726" TargetMode="External"/><Relationship Id="rId34" Type="http://schemas.openxmlformats.org/officeDocument/2006/relationships/hyperlink" Target="https://doi.org/10.1038/sj.emboj.7601126" TargetMode="External"/><Relationship Id="rId35" Type="http://schemas.openxmlformats.org/officeDocument/2006/relationships/hyperlink" Target="https://doi.org/10.1186/s13018-023-03815-4" TargetMode="External"/><Relationship Id="rId36" Type="http://schemas.openxmlformats.org/officeDocument/2006/relationships/hyperlink" Target="https://doi.org/10.1186/s13018-023-03815-4" TargetMode="External"/><Relationship Id="rId37" Type="http://schemas.openxmlformats.org/officeDocument/2006/relationships/hyperlink" Target="https://doi.org/10.1002/jcb.21198" TargetMode="External"/><Relationship Id="rId38" Type="http://schemas.openxmlformats.org/officeDocument/2006/relationships/hyperlink" Target="https://doi.org/10.1111/jcmm.18048" TargetMode="External"/><Relationship Id="rId39" Type="http://schemas.openxmlformats.org/officeDocument/2006/relationships/hyperlink" Target="https://doi.org/10.1038/cdd.2017.186" TargetMode="External"/><Relationship Id="rId40" Type="http://schemas.openxmlformats.org/officeDocument/2006/relationships/hyperlink" Target="https://doi.org/10.1016/j.ajpath.2024.05.004" TargetMode="External"/><Relationship Id="rId41" Type="http://schemas.openxmlformats.org/officeDocument/2006/relationships/hyperlink" Target="https://doi.org/10.1016/j.joca.2008.04.027" TargetMode="External"/><Relationship Id="rId42" Type="http://schemas.openxmlformats.org/officeDocument/2006/relationships/hyperlink" Target="https://doi.org/10.1002/dvdy.20323" TargetMode="External"/><Relationship Id="rId43" Type="http://schemas.openxmlformats.org/officeDocument/2006/relationships/hyperlink" Target="https://doi.org/10.1002/jbmr.4019" TargetMode="External"/><Relationship Id="rId44" Type="http://schemas.openxmlformats.org/officeDocument/2006/relationships/hyperlink" Target="https://doi.org/10.3390/cells9010147" TargetMode="External"/><Relationship Id="rId45" Type="http://schemas.openxmlformats.org/officeDocument/2006/relationships/hyperlink" Target="https://doi.org/10.22203/ecm.v032a08" TargetMode="External"/><Relationship Id="rId46" Type="http://schemas.openxmlformats.org/officeDocument/2006/relationships/hyperlink" Target="https://doi.org/10.1016/j.steroids.2005.04.007" TargetMode="External"/><Relationship Id="rId47" Type="http://schemas.openxmlformats.org/officeDocument/2006/relationships/hyperlink" Target="https://doi.org/10.1016/j.intimp.2020.106681" TargetMode="External"/><Relationship Id="rId48" Type="http://schemas.openxmlformats.org/officeDocument/2006/relationships/hyperlink" Target="https://doi.org/10.1038/s41598-021-82067-w" TargetMode="External"/><Relationship Id="rId49" Type="http://schemas.openxmlformats.org/officeDocument/2006/relationships/hyperlink" Target="https://doi.org/10.1038/s12276-020-0441-x" TargetMode="External"/><Relationship Id="rId50" Type="http://schemas.openxmlformats.org/officeDocument/2006/relationships/hyperlink" Target="https://doi.org/10.1016/0167-4838(83)90140-1" TargetMode="External"/><Relationship Id="rId51" Type="http://schemas.openxmlformats.org/officeDocument/2006/relationships/hyperlink" Target="https://doi.org/10.1038/sj.cdd.4402028" TargetMode="External"/><Relationship Id="rId52" Type="http://schemas.openxmlformats.org/officeDocument/2006/relationships/hyperlink" Target="https://doi.org/10.1007/s12551-017-0308-0" TargetMode="External"/><Relationship Id="rId53" Type="http://schemas.openxmlformats.org/officeDocument/2006/relationships/hyperlink" Target="https://doi.org/10.1186/s13018-023-03815-4" TargetMode="External"/><Relationship Id="rId54" Type="http://schemas.openxmlformats.org/officeDocument/2006/relationships/hyperlink" Target="https://doi.org/10.1002/art.38868" TargetMode="External"/><Relationship Id="rId55" Type="http://schemas.openxmlformats.org/officeDocument/2006/relationships/hyperlink" Target="https://doi.org/10.1038/s12276-022-00829-6" TargetMode="External"/><Relationship Id="rId56" Type="http://schemas.openxmlformats.org/officeDocument/2006/relationships/hyperlink" Target="https://doi.org/10.1111/j.1476-5381.2009.00143.x" TargetMode="External"/><Relationship Id="rId57" Type="http://schemas.openxmlformats.org/officeDocument/2006/relationships/hyperlink" Target="https://doi.org/10.1038/s12276-024-01168-4" TargetMode="External"/><Relationship Id="rId58" Type="http://schemas.openxmlformats.org/officeDocument/2006/relationships/hyperlink" Target="https://doi.org/10.1038/srep29916" TargetMode="External"/><Relationship Id="rId59" Type="http://schemas.openxmlformats.org/officeDocument/2006/relationships/hyperlink" Target="https://doi.org/10.3389/fphar.2024.1476255" TargetMode="External"/><Relationship Id="rId60" Type="http://schemas.openxmlformats.org/officeDocument/2006/relationships/hyperlink" Target="https://doi.org/10.1186/s13075-018-1723-8" TargetMode="External"/><Relationship Id="rId61" Type="http://schemas.openxmlformats.org/officeDocument/2006/relationships/hyperlink" Target="https://doi.org/10.1242/jcs.100107" TargetMode="External"/><Relationship Id="rId62" Type="http://schemas.openxmlformats.org/officeDocument/2006/relationships/hyperlink" Target="https://doi.org/10.1002/art.24073" TargetMode="External"/><Relationship Id="rId63" Type="http://schemas.openxmlformats.org/officeDocument/2006/relationships/hyperlink" Target="https://doi.org/10.1038/nm.2146" TargetMode="External"/><Relationship Id="rId64" Type="http://schemas.openxmlformats.org/officeDocument/2006/relationships/hyperlink" Target="https://doi.org/10.1083/jcb.200211089" TargetMode="External"/><Relationship Id="rId65" Type="http://schemas.openxmlformats.org/officeDocument/2006/relationships/hyperlink" Target="https://doi.org/10.1371/journal.pgen.1002356" TargetMode="External"/><Relationship Id="rId66" Type="http://schemas.openxmlformats.org/officeDocument/2006/relationships/hyperlink" Target="https://doi.org/10.1074/jbc.m411793200" TargetMode="External"/><Relationship Id="rId67" Type="http://schemas.openxmlformats.org/officeDocument/2006/relationships/hyperlink" Target="https://doi.org/10.3892/ijmm.2021.4956" TargetMode="External"/><Relationship Id="rId68" Type="http://schemas.openxmlformats.org/officeDocument/2006/relationships/hyperlink" Target="https://doi.org/10.3390/ijms241210004" TargetMode="External"/><Relationship Id="rId69" Type="http://schemas.openxmlformats.org/officeDocument/2006/relationships/hyperlink" Target="https://doi.org/10.1186/s12950-024-00398-7" TargetMode="External"/><Relationship Id="rId70" Type="http://schemas.openxmlformats.org/officeDocument/2006/relationships/hyperlink" Target="https://doi.org/10.1371/journal.pgen.1002356" TargetMode="External"/><Relationship Id="rId71" Type="http://schemas.openxmlformats.org/officeDocument/2006/relationships/hyperlink" Target="https://doi.org/10.1016/j.bbrc.2017.05.086" TargetMode="External"/><Relationship Id="rId72" Type="http://schemas.openxmlformats.org/officeDocument/2006/relationships/hyperlink" Target="https://doi.org/10.1111/jcmm.18048" TargetMode="External"/><Relationship Id="rId73" Type="http://schemas.openxmlformats.org/officeDocument/2006/relationships/hyperlink" Target="https://doi.org/10.1016/j.matbio.2020.09.003" TargetMode="External"/><Relationship Id="rId74" Type="http://schemas.openxmlformats.org/officeDocument/2006/relationships/hyperlink" Target="https://doi.org/10.1016/j.gene.2019.04.020" TargetMode="External"/><Relationship Id="rId75" Type="http://schemas.openxmlformats.org/officeDocument/2006/relationships/hyperlink" Target="https://doi.org/10.1186/s12967-016-0833-9" TargetMode="External"/><Relationship Id="rId76" Type="http://schemas.openxmlformats.org/officeDocument/2006/relationships/hyperlink" Target="https://doi.org/10.1083/jcb.200111073" TargetMode="External"/><Relationship Id="rId77" Type="http://schemas.openxmlformats.org/officeDocument/2006/relationships/hyperlink" Target="https://doi.org/10.1083/jcb.200805048" TargetMode="External"/><Relationship Id="rId78" Type="http://schemas.openxmlformats.org/officeDocument/2006/relationships/hyperlink" Target="https://doi.org/10.1371/journal.pone.0082045" TargetMode="External"/><Relationship Id="rId79" Type="http://schemas.openxmlformats.org/officeDocument/2006/relationships/hyperlink" Target="https://doi.org/10.1371/journal.pone.0082045" TargetMode="External"/><Relationship Id="rId80" Type="http://schemas.openxmlformats.org/officeDocument/2006/relationships/hyperlink" Target="https://doi.org/10.1124/mol.109.056473" TargetMode="External"/><Relationship Id="rId81" Type="http://schemas.openxmlformats.org/officeDocument/2006/relationships/hyperlink" Target="https://doi.org/10.1046/j.1471-4159.2001.00495.x" TargetMode="External"/><Relationship Id="rId82" Type="http://schemas.openxmlformats.org/officeDocument/2006/relationships/hyperlink" Target="https://doi.org/10.1074/jbc.m115.702571" TargetMode="External"/><Relationship Id="rId83" Type="http://schemas.openxmlformats.org/officeDocument/2006/relationships/hyperlink" Target="https://doi.org/10.1016/j.joca.2008.04.027" TargetMode="External"/><Relationship Id="rId84" Type="http://schemas.openxmlformats.org/officeDocument/2006/relationships/hyperlink" Target="https://doi.org/10.1074/jbc.m115.702571" TargetMode="External"/><Relationship Id="rId85" Type="http://schemas.openxmlformats.org/officeDocument/2006/relationships/hyperlink" Target="https://doi.org/10.1016/j.joca.2008.04.027" TargetMode="External"/><Relationship Id="rId86" Type="http://schemas.openxmlformats.org/officeDocument/2006/relationships/hyperlink" Target="https://doi.org/10.1038/emm.2000.18" TargetMode="External"/><Relationship Id="rId87" Type="http://schemas.openxmlformats.org/officeDocument/2006/relationships/hyperlink" Target="https://doi.org/10.1073/pnas.0808249105" TargetMode="External"/><Relationship Id="rId88" Type="http://schemas.openxmlformats.org/officeDocument/2006/relationships/hyperlink" Target="https://doi.org/10.1016/j.jot.2025.01.013" TargetMode="External"/><Relationship Id="rId89" Type="http://schemas.openxmlformats.org/officeDocument/2006/relationships/hyperlink" Target="https://doi.org/10.1359/jbmr.070322" TargetMode="External"/><Relationship Id="rId90" Type="http://schemas.openxmlformats.org/officeDocument/2006/relationships/hyperlink" Target="https://doi.org/10.1038/sj.onc.1203362" TargetMode="External"/><Relationship Id="rId91" Type="http://schemas.openxmlformats.org/officeDocument/2006/relationships/hyperlink" Target="https://doi.org/10.1097/01.brs.0000159096.11248.6d" TargetMode="External"/><Relationship Id="rId92" Type="http://schemas.openxmlformats.org/officeDocument/2006/relationships/hyperlink" Target="https://doi.org/10.1097/01.brs.0000159096.11248.6d" TargetMode="External"/><Relationship Id="rId93" Type="http://schemas.openxmlformats.org/officeDocument/2006/relationships/hyperlink" Target="https://doi.org/10.1074/jbc.m201283200" TargetMode="External"/><Relationship Id="rId94" Type="http://schemas.openxmlformats.org/officeDocument/2006/relationships/hyperlink" Target="https://doi.org/10.1038/srep23258" TargetMode="External"/><Relationship Id="rId95" Type="http://schemas.openxmlformats.org/officeDocument/2006/relationships/hyperlink" Target="https://doi.org/10.1007/s10753-022-01770-6" TargetMode="External"/><Relationship Id="rId96" Type="http://schemas.openxmlformats.org/officeDocument/2006/relationships/hyperlink" Target="https://doi.org/10.1074/jbc.m201283200" TargetMode="External"/><Relationship Id="rId97" Type="http://schemas.openxmlformats.org/officeDocument/2006/relationships/hyperlink" Target="https://doi.org/10.1038/srep23258" TargetMode="External"/><Relationship Id="rId98" Type="http://schemas.openxmlformats.org/officeDocument/2006/relationships/hyperlink" Target="https://doi.org/10.1101/gad.1482906" TargetMode="External"/><Relationship Id="rId99" Type="http://schemas.openxmlformats.org/officeDocument/2006/relationships/hyperlink" Target="https://doi.org/10.1002/lary.20157" TargetMode="External"/><Relationship Id="rId100" Type="http://schemas.openxmlformats.org/officeDocument/2006/relationships/hyperlink" Target="https://doi.org/10.1074/jbc.m608995200" TargetMode="External"/><Relationship Id="rId101" Type="http://schemas.openxmlformats.org/officeDocument/2006/relationships/hyperlink" Target="https://doi.org/10.1007/bf00229313" TargetMode="External"/><Relationship Id="rId102" Type="http://schemas.openxmlformats.org/officeDocument/2006/relationships/hyperlink" Target="https://doi.org/10.1182/blood-2005-09-3541" TargetMode="External"/><Relationship Id="rId103" Type="http://schemas.openxmlformats.org/officeDocument/2006/relationships/hyperlink" Target="https://doi.org/10.1042/cs20150622" TargetMode="External"/><Relationship Id="rId104" Type="http://schemas.openxmlformats.org/officeDocument/2006/relationships/hyperlink" Target="https://doi.org/10.1016/j.intimp.2019.04.012" TargetMode="External"/><Relationship Id="rId105" Type="http://schemas.openxmlformats.org/officeDocument/2006/relationships/hyperlink" Target="https://doi.org/10.1002/art.38791" TargetMode="External"/><Relationship Id="rId106" Type="http://schemas.openxmlformats.org/officeDocument/2006/relationships/hyperlink" Target="https://doi.org/10.1074/jbc.m508510200" TargetMode="External"/><Relationship Id="rId107" Type="http://schemas.openxmlformats.org/officeDocument/2006/relationships/hyperlink" Target="https://doi.org/10.1016/j.cell.2006.03.046" TargetMode="External"/><Relationship Id="rId108" Type="http://schemas.openxmlformats.org/officeDocument/2006/relationships/hyperlink" Target="https://doi.org/10.1074/jbc.m111.284224" TargetMode="External"/><Relationship Id="rId109" Type="http://schemas.openxmlformats.org/officeDocument/2006/relationships/hyperlink" Target="https://doi.org/10.1038/ncb1676" TargetMode="External"/><Relationship Id="rId110" Type="http://schemas.openxmlformats.org/officeDocument/2006/relationships/hyperlink" Target="https://doi.org/10.1126/science.1068712" TargetMode="External"/><Relationship Id="rId111" Type="http://schemas.openxmlformats.org/officeDocument/2006/relationships/hyperlink" Target="https://doi.org/10.1002/art.23504" TargetMode="External"/><Relationship Id="rId112" Type="http://schemas.openxmlformats.org/officeDocument/2006/relationships/hyperlink" Target="https://doi.org/10.1016/j.ydbio.2010.02.024" TargetMode="External"/><Relationship Id="rId113" Type="http://schemas.openxmlformats.org/officeDocument/2006/relationships/hyperlink" Target="https://doi.org/10.1016/j.ydbio.2010.02.024" TargetMode="External"/><Relationship Id="rId114" Type="http://schemas.openxmlformats.org/officeDocument/2006/relationships/hyperlink" Target="https://doi.org/10.1101/gad.1230704" TargetMode="External"/><Relationship Id="rId115" Type="http://schemas.openxmlformats.org/officeDocument/2006/relationships/hyperlink" Target="https://doi.org/10.3390/ijms222011082" TargetMode="External"/><Relationship Id="rId116" Type="http://schemas.openxmlformats.org/officeDocument/2006/relationships/hyperlink" Target="https://doi.org/10.1002/art.38868" TargetMode="External"/><Relationship Id="rId117" Type="http://schemas.openxmlformats.org/officeDocument/2006/relationships/hyperlink" Target="https://doi.org/10.1038/s12276-022-00829-6" TargetMode="External"/><Relationship Id="rId118" Type="http://schemas.openxmlformats.org/officeDocument/2006/relationships/hyperlink" Target="https://doi.org/10.1038/s41419-019-2202-0" TargetMode="External"/><Relationship Id="rId119" Type="http://schemas.openxmlformats.org/officeDocument/2006/relationships/hyperlink" Target="https://doi.org/10.1016/j.joca.2008.04.006" TargetMode="External"/><Relationship Id="rId120" Type="http://schemas.openxmlformats.org/officeDocument/2006/relationships/hyperlink" Target="https://doi.org/10.1074/jbc.m112.365882" TargetMode="External"/><Relationship Id="rId121" Type="http://schemas.openxmlformats.org/officeDocument/2006/relationships/hyperlink" Target="https://doi.org/10.1038/onc.2014.164" TargetMode="External"/><Relationship Id="rId122" Type="http://schemas.openxmlformats.org/officeDocument/2006/relationships/hyperlink" Target="https://doi.org/10.1186/ar1765" TargetMode="External"/><Relationship Id="rId123" Type="http://schemas.openxmlformats.org/officeDocument/2006/relationships/hyperlink" Target="https://doi.org/10.1128/mcb.00015-07" TargetMode="External"/><Relationship Id="rId124" Type="http://schemas.openxmlformats.org/officeDocument/2006/relationships/hyperlink" Target="https://doi.org/10.21037/atm-21-2701" TargetMode="External"/><Relationship Id="rId125" Type="http://schemas.openxmlformats.org/officeDocument/2006/relationships/hyperlink" Target="https://doi.org/10.1186/s11658-023-00489-y" TargetMode="External"/><Relationship Id="rId126" Type="http://schemas.openxmlformats.org/officeDocument/2006/relationships/hyperlink" Target="https://doi.org/10.1016/j.joca.2014.06.031" TargetMode="External"/><Relationship Id="rId127" Type="http://schemas.openxmlformats.org/officeDocument/2006/relationships/hyperlink" Target="https://doi.org/10.1016/j.jot.2023.03.002" TargetMode="External"/><Relationship Id="rId128" Type="http://schemas.openxmlformats.org/officeDocument/2006/relationships/hyperlink" Target="https://doi.org/10.1371/journal.pone.0039679" TargetMode="External"/><Relationship Id="rId129" Type="http://schemas.openxmlformats.org/officeDocument/2006/relationships/hyperlink" Target="https://doi.org/10.1126/science.1165946" TargetMode="External"/><Relationship Id="rId130" Type="http://schemas.openxmlformats.org/officeDocument/2006/relationships/hyperlink" Target="https://doi.org/10.15252/embj.201489062" TargetMode="External"/><Relationship Id="rId131" Type="http://schemas.openxmlformats.org/officeDocument/2006/relationships/hyperlink" Target="https://doi.org/10.1002/jcb.1163" TargetMode="External"/><Relationship Id="rId132" Type="http://schemas.openxmlformats.org/officeDocument/2006/relationships/hyperlink" Target="https://doi.org/10.1002/humu.9503" TargetMode="External"/><Relationship Id="rId133" Type="http://schemas.openxmlformats.org/officeDocument/2006/relationships/hyperlink" Target="https://doi.org/10.1074/jbc.271.7.3355" TargetMode="External"/><Relationship Id="rId134" Type="http://schemas.openxmlformats.org/officeDocument/2006/relationships/hyperlink" Target="https://doi.org/10.1172/jci.insight.131382" TargetMode="External"/><Relationship Id="rId135" Type="http://schemas.openxmlformats.org/officeDocument/2006/relationships/hyperlink" Target="https://doi.org/10.1002/jcb.25099" TargetMode="External"/><Relationship Id="rId136" Type="http://schemas.openxmlformats.org/officeDocument/2006/relationships/hyperlink" Target="https://doi.org/10.1128/mcb.00409-10" TargetMode="External"/><Relationship Id="rId137" Type="http://schemas.openxmlformats.org/officeDocument/2006/relationships/hyperlink" Target="https://doi.org/10.1016/s0022-2836(02)01404-3" TargetMode="External"/><Relationship Id="rId138" Type="http://schemas.openxmlformats.org/officeDocument/2006/relationships/hyperlink" Target="https://doi.org/10.1038/s41598-017-17289-y" TargetMode="External"/><Relationship Id="rId139" Type="http://schemas.openxmlformats.org/officeDocument/2006/relationships/hyperlink" Target="https://doi.org/10.1038/s41388-018-0417-7" TargetMode="External"/><Relationship Id="rId140" Type="http://schemas.openxmlformats.org/officeDocument/2006/relationships/hyperlink" Target="https://doi.org/10.1016/j.intimp.2019.04.012" TargetMode="External"/><Relationship Id="rId141" Type="http://schemas.openxmlformats.org/officeDocument/2006/relationships/hyperlink" Target="https://doi.org/10.1186/s12967-016-0833-9" TargetMode="External"/><Relationship Id="rId142" Type="http://schemas.openxmlformats.org/officeDocument/2006/relationships/hyperlink" Target="https://doi.org/10.1038/s41388-018-0417-7" TargetMode="External"/><Relationship Id="rId143" Type="http://schemas.openxmlformats.org/officeDocument/2006/relationships/hyperlink" Target="https://doi.org/10.1186/s12950-024-00398-7" TargetMode="External"/><Relationship Id="rId144" Type="http://schemas.openxmlformats.org/officeDocument/2006/relationships/hyperlink" Target="https://doi.org/10.1016/j.joca.2015.02.168" TargetMode="External"/><Relationship Id="rId145" Type="http://schemas.openxmlformats.org/officeDocument/2006/relationships/hyperlink" Target="https://doi.org/10.1016/j.jot.2023.03.002" TargetMode="External"/><Relationship Id="rId146" Type="http://schemas.openxmlformats.org/officeDocument/2006/relationships/hyperlink" Target="https://doi.org/10.1038/emm.2000.18" TargetMode="External"/><Relationship Id="rId147" Type="http://schemas.openxmlformats.org/officeDocument/2006/relationships/hyperlink" Target="https://doi.org/10.1046/j.1471-4159.2000.0750788.x" TargetMode="External"/><Relationship Id="rId148" Type="http://schemas.openxmlformats.org/officeDocument/2006/relationships/hyperlink" Target="https://doi.org/10.1016/j.bbamcr.2008.12.003" TargetMode="External"/><Relationship Id="rId149" Type="http://schemas.openxmlformats.org/officeDocument/2006/relationships/hyperlink" Target="https://doi.org/10.3724/abbs.2024027" TargetMode="External"/><Relationship Id="rId150" Type="http://schemas.openxmlformats.org/officeDocument/2006/relationships/hyperlink" Target="https://doi.org/10.1074/jbc.m109690200" TargetMode="External"/><Relationship Id="rId151" Type="http://schemas.openxmlformats.org/officeDocument/2006/relationships/hyperlink" Target="https://doi.org/10.3389/fcell.2024.1423665" TargetMode="External"/><Relationship Id="rId152" Type="http://schemas.openxmlformats.org/officeDocument/2006/relationships/hyperlink" Target="https://doi.org/10.1080/03008207.2020.1736578" TargetMode="External"/><Relationship Id="rId153" Type="http://schemas.openxmlformats.org/officeDocument/2006/relationships/hyperlink" Target="https://doi.org/10.3892/ijmm.2018.3921" TargetMode="External"/><Relationship Id="rId154" Type="http://schemas.openxmlformats.org/officeDocument/2006/relationships/hyperlink" Target="https://doi.org/10.1016/j.cell.2012.06.037" TargetMode="External"/><Relationship Id="rId155" Type="http://schemas.openxmlformats.org/officeDocument/2006/relationships/hyperlink" Target="https://doi.org/10.1016/j.cell.2012.06.037" TargetMode="External"/><Relationship Id="rId156" Type="http://schemas.openxmlformats.org/officeDocument/2006/relationships/hyperlink" Target="https://doi.org/10.1073/pnas.090491897" TargetMode="External"/><Relationship Id="rId157" Type="http://schemas.openxmlformats.org/officeDocument/2006/relationships/hyperlink" Target="https://doi.org/10.3390/ijms15011176" TargetMode="External"/><Relationship Id="rId158" Type="http://schemas.openxmlformats.org/officeDocument/2006/relationships/hyperlink" Target="https://doi.org/10.3390/ijms15011176" TargetMode="External"/><Relationship Id="rId159" Type="http://schemas.openxmlformats.org/officeDocument/2006/relationships/hyperlink" Target="https://doi.org/10.3389/fphar.2017.00756" TargetMode="External"/><Relationship Id="rId160" Type="http://schemas.openxmlformats.org/officeDocument/2006/relationships/hyperlink" Target="https://doi.org/10.1042/bcj20190410" TargetMode="External"/><Relationship Id="rId161" Type="http://schemas.openxmlformats.org/officeDocument/2006/relationships/hyperlink" Target="https://doi.org/10.1016/j.ajpath.2024.05.004" TargetMode="External"/><Relationship Id="rId162" Type="http://schemas.openxmlformats.org/officeDocument/2006/relationships/hyperlink" Target="https://doi.org/10.3389/fcell.2023.1324561" TargetMode="External"/><Relationship Id="rId163" Type="http://schemas.openxmlformats.org/officeDocument/2006/relationships/hyperlink" Target="https://doi.org/10.3389/fcell.2023.1324561" TargetMode="External"/><Relationship Id="rId164" Type="http://schemas.openxmlformats.org/officeDocument/2006/relationships/hyperlink" Target="https://doi.org/10.1111/cpr.13438" TargetMode="External"/><Relationship Id="rId165" Type="http://schemas.openxmlformats.org/officeDocument/2006/relationships/hyperlink" Target="https://doi.org/10.3389/fcell.2024.1423665" TargetMode="External"/><Relationship Id="rId166" Type="http://schemas.openxmlformats.org/officeDocument/2006/relationships/hyperlink" Target="https://doi.org/10.1002/1529-0131(200110)44:10%3C2296::aid-art392%3E3.0.co;2-9" TargetMode="External"/><Relationship Id="rId167" Type="http://schemas.openxmlformats.org/officeDocument/2006/relationships/hyperlink" Target="https://doi.org/10.2147/jir.s444758" TargetMode="External"/><Relationship Id="rId168" Type="http://schemas.openxmlformats.org/officeDocument/2006/relationships/hyperlink" Target="https://doi.org/10.2147/dddt.s203974" TargetMode="External"/><Relationship Id="rId169" Type="http://schemas.openxmlformats.org/officeDocument/2006/relationships/hyperlink" Target="https://doi.org/10.1038/s41598-017-17289-y" TargetMode="External"/><Relationship Id="rId170" Type="http://schemas.openxmlformats.org/officeDocument/2006/relationships/hyperlink" Target="https://doi.org/10.1016/j.lfs.2019.116565" TargetMode="External"/><Relationship Id="rId171" Type="http://schemas.openxmlformats.org/officeDocument/2006/relationships/hyperlink" Target="https://doi.org/10.1080/03008207.2021.1952193" TargetMode="External"/><Relationship Id="rId172" Type="http://schemas.openxmlformats.org/officeDocument/2006/relationships/hyperlink" Target="https://doi.org/10.1002/path.2578" TargetMode="External"/><Relationship Id="rId173" Type="http://schemas.openxmlformats.org/officeDocument/2006/relationships/hyperlink" Target="https://doi.org/10.2460/ajvr.73.10.1553" TargetMode="External"/><Relationship Id="rId174" Type="http://schemas.openxmlformats.org/officeDocument/2006/relationships/hyperlink" Target="https://doi.org/10.2147/jir.s444758" TargetMode="External"/><Relationship Id="rId175" Type="http://schemas.openxmlformats.org/officeDocument/2006/relationships/hyperlink" Target="https://doi.org/10.2147/dddt.s203974" TargetMode="External"/><Relationship Id="rId176" Type="http://schemas.openxmlformats.org/officeDocument/2006/relationships/hyperlink" Target="https://doi.org/10.1038/s41598-017-17289-y" TargetMode="External"/><Relationship Id="rId177" Type="http://schemas.openxmlformats.org/officeDocument/2006/relationships/hyperlink" Target="https://doi.org/10.2147/jir.s444758" TargetMode="External"/><Relationship Id="rId178" Type="http://schemas.openxmlformats.org/officeDocument/2006/relationships/hyperlink" Target="https://doi.org/10.2147/dddt.s203974" TargetMode="External"/><Relationship Id="rId179" Type="http://schemas.openxmlformats.org/officeDocument/2006/relationships/hyperlink" Target="https://doi.org/10.1038/sj.cdd.4401963" TargetMode="External"/><Relationship Id="rId180" Type="http://schemas.openxmlformats.org/officeDocument/2006/relationships/hyperlink" Target="https://doi.org/10.1038/cdd.2017.186" TargetMode="External"/><Relationship Id="rId181" Type="http://schemas.openxmlformats.org/officeDocument/2006/relationships/hyperlink" Target="https://doi.org/10.1242/jcs.001586" TargetMode="External"/><Relationship Id="rId182" Type="http://schemas.openxmlformats.org/officeDocument/2006/relationships/hyperlink" Target="https://doi.org/10.1080/03008207.2021.1952193" TargetMode="External"/><Relationship Id="rId183" Type="http://schemas.openxmlformats.org/officeDocument/2006/relationships/hyperlink" Target="https://doi.org/10.1101/gad.219402.113" TargetMode="External"/><Relationship Id="rId184" Type="http://schemas.openxmlformats.org/officeDocument/2006/relationships/hyperlink" Target="https://doi.org/10.1152/physrev.00026.2020" TargetMode="External"/><Relationship Id="rId185" Type="http://schemas.openxmlformats.org/officeDocument/2006/relationships/hyperlink" Target="https://doi.org/10.1152/physrev.00026.2020" TargetMode="External"/><Relationship Id="rId186" Type="http://schemas.openxmlformats.org/officeDocument/2006/relationships/hyperlink" Target="https://doi.org/10.1073/pnas.0600678103" TargetMode="External"/><Relationship Id="rId187" Type="http://schemas.openxmlformats.org/officeDocument/2006/relationships/hyperlink" Target="https://doi.org/10.1016/j.cub.2005.02.053" TargetMode="External"/><Relationship Id="rId188" Type="http://schemas.openxmlformats.org/officeDocument/2006/relationships/hyperlink" Target="https://doi.org/10.1159/000493225" TargetMode="External"/><Relationship Id="rId189" Type="http://schemas.openxmlformats.org/officeDocument/2006/relationships/hyperlink" Target="https://doi.org/10.1002/stem.1476" TargetMode="External"/><Relationship Id="rId190" Type="http://schemas.openxmlformats.org/officeDocument/2006/relationships/hyperlink" Target="https://doi.org/10.18632/oncotarget.18628" TargetMode="External"/><Relationship Id="rId191" Type="http://schemas.openxmlformats.org/officeDocument/2006/relationships/hyperlink" Target="https://doi.org/10.1128/mcb.00601-09" TargetMode="External"/><Relationship Id="rId192" Type="http://schemas.openxmlformats.org/officeDocument/2006/relationships/hyperlink" Target="https://doi.org/10.3892/ijmm.2017.3005" TargetMode="External"/><Relationship Id="rId193" Type="http://schemas.openxmlformats.org/officeDocument/2006/relationships/hyperlink" Target="https://doi.org/10.1159/000489804" TargetMode="External"/><Relationship Id="rId194" Type="http://schemas.openxmlformats.org/officeDocument/2006/relationships/hyperlink" Target="https://doi.org/10.3724/abbs.2024027" TargetMode="External"/><Relationship Id="rId195" Type="http://schemas.openxmlformats.org/officeDocument/2006/relationships/hyperlink" Target="https://doi.org/10.1155/2022/5635797" TargetMode="External"/><Relationship Id="rId196" Type="http://schemas.openxmlformats.org/officeDocument/2006/relationships/hyperlink" Target="https://doi.org/10.1016/j.ijcard.2021.08.007" TargetMode="External"/><Relationship Id="rId197" Type="http://schemas.openxmlformats.org/officeDocument/2006/relationships/hyperlink" Target="https://doi.org/10.1128/mcb.01204-10" TargetMode="External"/><Relationship Id="rId198" Type="http://schemas.openxmlformats.org/officeDocument/2006/relationships/hyperlink" Target="https://doi.org/10.1074/jbc.m109690200" TargetMode="External"/><Relationship Id="rId199" Type="http://schemas.openxmlformats.org/officeDocument/2006/relationships/hyperlink" Target="https://doi.org/10.1111/cpr.13438" TargetMode="External"/><Relationship Id="rId200" Type="http://schemas.openxmlformats.org/officeDocument/2006/relationships/hyperlink" Target="https://doi.org/10.22203/ecm.v030a07" TargetMode="External"/><Relationship Id="rId201" Type="http://schemas.openxmlformats.org/officeDocument/2006/relationships/hyperlink" Target="https://doi.org/10.1016/j.mad.2022.111715" TargetMode="External"/><Relationship Id="rId202" Type="http://schemas.openxmlformats.org/officeDocument/2006/relationships/hyperlink" Target="https://doi.org/10.1016/j.mad.2022.111715" TargetMode="External"/><Relationship Id="rId203" Type="http://schemas.openxmlformats.org/officeDocument/2006/relationships/hyperlink" Target="https://doi.org/10.1007/s00018-023-05094-y" TargetMode="External"/><Relationship Id="rId204" Type="http://schemas.openxmlformats.org/officeDocument/2006/relationships/hyperlink" Target="https://doi.org/10.1007/s00018-023-05094-y" TargetMode="External"/><Relationship Id="rId205" Type="http://schemas.openxmlformats.org/officeDocument/2006/relationships/hyperlink" Target="https://doi.org/10.1074/jbc.273.3.1733" TargetMode="External"/><Relationship Id="rId206" Type="http://schemas.openxmlformats.org/officeDocument/2006/relationships/hyperlink" Target="https://doi.org/10.1074/jbc.m111.334466" TargetMode="External"/><Relationship Id="rId207" Type="http://schemas.openxmlformats.org/officeDocument/2006/relationships/hyperlink" Target="https://doi.org/10.1097/brs.0000000000001220" TargetMode="External"/><Relationship Id="rId208" Type="http://schemas.openxmlformats.org/officeDocument/2006/relationships/hyperlink" Target="https://doi.org/10.1097/brs.0000000000001220" TargetMode="External"/><Relationship Id="rId209" Type="http://schemas.openxmlformats.org/officeDocument/2006/relationships/hyperlink" Target="https://doi.org/10.1002/jcb.27683" TargetMode="External"/><Relationship Id="rId210" Type="http://schemas.openxmlformats.org/officeDocument/2006/relationships/hyperlink" Target="https://doi.org/10.1042/cs20258735" TargetMode="External"/><Relationship Id="rId211" Type="http://schemas.openxmlformats.org/officeDocument/2006/relationships/hyperlink" Target="https://doi.org/10.1038/s41392-021-00828-5" TargetMode="External"/><Relationship Id="rId212" Type="http://schemas.openxmlformats.org/officeDocument/2006/relationships/hyperlink" Target="https://doi.org/10.1074/jbc.273.22.13375" TargetMode="External"/><Relationship Id="rId213" Type="http://schemas.openxmlformats.org/officeDocument/2006/relationships/hyperlink" Target="https://doi.org/10.1038/s41392-021-00828-5" TargetMode="External"/><Relationship Id="rId214" Type="http://schemas.openxmlformats.org/officeDocument/2006/relationships/hyperlink" Target="https://doi.org/10.1074/jbc.m608086200" TargetMode="External"/><Relationship Id="rId215" Type="http://schemas.openxmlformats.org/officeDocument/2006/relationships/hyperlink" Target="https://doi.org/10.1074/jbc.m208300200" TargetMode="External"/><Relationship Id="rId216" Type="http://schemas.openxmlformats.org/officeDocument/2006/relationships/hyperlink" Target="https://doi.org/10.1074/jbc.m608086200" TargetMode="External"/><Relationship Id="rId217" Type="http://schemas.openxmlformats.org/officeDocument/2006/relationships/hyperlink" Target="https://doi.org/10.1074/jbc.m208300200" TargetMode="External"/><Relationship Id="rId218" Type="http://schemas.openxmlformats.org/officeDocument/2006/relationships/hyperlink" Target="https://doi.org/10.1126/science.271.5249.645" TargetMode="External"/><Relationship Id="rId219" Type="http://schemas.openxmlformats.org/officeDocument/2006/relationships/hyperlink" Target="https://doi.org/10.1194/jlr.m700419-jlr200" TargetMode="External"/><Relationship Id="rId220" Type="http://schemas.openxmlformats.org/officeDocument/2006/relationships/hyperlink" Target="https://doi.org/10.1194/jlr.m700419-jlr200" TargetMode="External"/><Relationship Id="rId221" Type="http://schemas.openxmlformats.org/officeDocument/2006/relationships/hyperlink" Target="https://doi.org/10.1074/jbc.271.44.27723" TargetMode="External"/><Relationship Id="rId222" Type="http://schemas.openxmlformats.org/officeDocument/2006/relationships/hyperlink" Target="https://doi.org/10.1093/emboj/17.2.414" TargetMode="External"/><Relationship Id="rId223" Type="http://schemas.openxmlformats.org/officeDocument/2006/relationships/hyperlink" Target="https://doi.org/10.1093/emboj/17.2.414" TargetMode="External"/><Relationship Id="rId224" Type="http://schemas.openxmlformats.org/officeDocument/2006/relationships/hyperlink" Target="https://doi.org/10.1074/jbc.m311033200" TargetMode="External"/><Relationship Id="rId225" Type="http://schemas.openxmlformats.org/officeDocument/2006/relationships/hyperlink" Target="https://doi.org/10.1074/jbc.m311033200" TargetMode="External"/><Relationship Id="rId226" Type="http://schemas.openxmlformats.org/officeDocument/2006/relationships/hyperlink" Target="https://doi.org/10.1002/jcb.20351" TargetMode="External"/><Relationship Id="rId227" Type="http://schemas.openxmlformats.org/officeDocument/2006/relationships/hyperlink" Target="https://doi.org/10.1002/jcb.20351" TargetMode="External"/><Relationship Id="rId228" Type="http://schemas.openxmlformats.org/officeDocument/2006/relationships/hyperlink" Target="https://doi.org/10.1016/j.molcel.2010.07.022" TargetMode="External"/><Relationship Id="rId229" Type="http://schemas.openxmlformats.org/officeDocument/2006/relationships/hyperlink" Target="https://doi.org/10.1186/s12951-023-02075-y" TargetMode="External"/><Relationship Id="rId230" Type="http://schemas.openxmlformats.org/officeDocument/2006/relationships/hyperlink" Target="https://doi.org/10.1002/art.38791" TargetMode="External"/><Relationship Id="rId231" Type="http://schemas.openxmlformats.org/officeDocument/2006/relationships/hyperlink" Target="https://doi.org/10.1164/rccm.200907-1047oc" TargetMode="External"/><Relationship Id="rId232" Type="http://schemas.openxmlformats.org/officeDocument/2006/relationships/hyperlink" Target="https://doi.org/10.1186/ar2151" TargetMode="External"/><Relationship Id="rId233" Type="http://schemas.openxmlformats.org/officeDocument/2006/relationships/hyperlink" Target="https://doi.org/10.4049/jimmunol.1402554" TargetMode="External"/><Relationship Id="rId234" Type="http://schemas.openxmlformats.org/officeDocument/2006/relationships/hyperlink" Target="https://doi.org/10.1016/s0960-9822(01)00225-1" TargetMode="External"/><Relationship Id="rId235" Type="http://schemas.openxmlformats.org/officeDocument/2006/relationships/hyperlink" Target="https://doi.org/10.1089/scd.2010.0465" TargetMode="External"/><Relationship Id="rId236" Type="http://schemas.openxmlformats.org/officeDocument/2006/relationships/hyperlink" Target="https://doi.org/10.1091/mbc.e06-03-0207" TargetMode="External"/><Relationship Id="rId237" Type="http://schemas.openxmlformats.org/officeDocument/2006/relationships/hyperlink" Target="https://doi.org/10.1186/bcr922" TargetMode="External"/><Relationship Id="rId238" Type="http://schemas.openxmlformats.org/officeDocument/2006/relationships/hyperlink" Target="https://doi.org/10.1091/mbc.e06-03-0207" TargetMode="External"/><Relationship Id="rId239" Type="http://schemas.openxmlformats.org/officeDocument/2006/relationships/hyperlink" Target="https://doi.org/10.1186/bcr922" TargetMode="External"/><Relationship Id="rId240" Type="http://schemas.openxmlformats.org/officeDocument/2006/relationships/hyperlink" Target="https://doi.org/10.3389/fcell.2023.1324561" TargetMode="External"/><Relationship Id="rId241" Type="http://schemas.openxmlformats.org/officeDocument/2006/relationships/hyperlink" Target="https://doi.org/10.3389/fcell.2023.1324561" TargetMode="External"/><Relationship Id="rId242" Type="http://schemas.openxmlformats.org/officeDocument/2006/relationships/hyperlink" Target="https://doi.org/10.1038/372786a0" TargetMode="External"/><Relationship Id="rId243" Type="http://schemas.openxmlformats.org/officeDocument/2006/relationships/hyperlink" Target="https://doi.org/10.1038/372786a0" TargetMode="External"/><Relationship Id="rId244" Type="http://schemas.openxmlformats.org/officeDocument/2006/relationships/hyperlink" Target="https://doi.org/10.1152/physrev.00026.2020" TargetMode="External"/><Relationship Id="rId245" Type="http://schemas.openxmlformats.org/officeDocument/2006/relationships/hyperlink" Target="https://doi.org/10.1016/j.cell.2006.06.055" TargetMode="External"/><Relationship Id="rId246" Type="http://schemas.openxmlformats.org/officeDocument/2006/relationships/hyperlink" Target="https://doi.org/10.1016/j.ceb.2009.05.006" TargetMode="External"/><Relationship Id="rId247" Type="http://schemas.openxmlformats.org/officeDocument/2006/relationships/hyperlink" Target="https://doi.org/10.1016/j.ceb.2009.05.006" TargetMode="External"/><Relationship Id="rId248" Type="http://schemas.openxmlformats.org/officeDocument/2006/relationships/hyperlink" Target="https://doi.org/10.1038/s12276-021-00716-6" TargetMode="External"/><Relationship Id="rId249" Type="http://schemas.openxmlformats.org/officeDocument/2006/relationships/hyperlink" Target="https://doi.org/10.1038/s12276-021-00716-6" TargetMode="External"/><Relationship Id="rId250" Type="http://schemas.openxmlformats.org/officeDocument/2006/relationships/hyperlink" Target="https://doi.org/10.3233/jad-2010-100465" TargetMode="External"/><Relationship Id="rId251" Type="http://schemas.openxmlformats.org/officeDocument/2006/relationships/hyperlink" Target="https://doi.org/10.1016/j.cellsig.2026.112769" TargetMode="External"/><Relationship Id="rId252" Type="http://schemas.openxmlformats.org/officeDocument/2006/relationships/hyperlink" Target="https://doi.org/10.1073/pnas.2209184120" TargetMode="External"/><Relationship Id="rId253" Type="http://schemas.openxmlformats.org/officeDocument/2006/relationships/hyperlink" Target="https://doi.org/10.1002/advs.202105466" TargetMode="External"/><Relationship Id="rId254" Type="http://schemas.openxmlformats.org/officeDocument/2006/relationships/hyperlink" Target="https://doi.org/10.3390/ijms20040972" TargetMode="External"/><Relationship Id="rId255" Type="http://schemas.openxmlformats.org/officeDocument/2006/relationships/hyperlink" Target="https://doi.org/10.1002/jbmr.561" TargetMode="External"/><Relationship Id="rId256" Type="http://schemas.openxmlformats.org/officeDocument/2006/relationships/hyperlink" Target="https://doi.org/10.1002/jbmr.561" TargetMode="External"/><Relationship Id="rId257" Type="http://schemas.openxmlformats.org/officeDocument/2006/relationships/hyperlink" Target="https://doi.org/10.1002/jbmr.174" TargetMode="External"/><Relationship Id="rId258" Type="http://schemas.openxmlformats.org/officeDocument/2006/relationships/hyperlink" Target="https://doi.org/10.3892/etm.2022.11193" TargetMode="External"/><Relationship Id="rId259" Type="http://schemas.openxmlformats.org/officeDocument/2006/relationships/hyperlink" Target="https://doi.org/10.1172/jci.insight.131382" TargetMode="External"/><Relationship Id="rId260" Type="http://schemas.openxmlformats.org/officeDocument/2006/relationships/hyperlink" Target="https://doi.org/10.1038/s12276-022-00829-6" TargetMode="External"/><Relationship Id="rId261" Type="http://schemas.openxmlformats.org/officeDocument/2006/relationships/hyperlink" Target="https://doi.org/10.1002/jor.23583" TargetMode="External"/><Relationship Id="rId262" Type="http://schemas.openxmlformats.org/officeDocument/2006/relationships/hyperlink" Target="https://doi.org/10.1038/s12276-022-00829-6" TargetMode="External"/><Relationship Id="rId263" Type="http://schemas.openxmlformats.org/officeDocument/2006/relationships/hyperlink" Target="https://doi.org/10.1083/jcb.200312045" TargetMode="External"/><Relationship Id="rId264" Type="http://schemas.openxmlformats.org/officeDocument/2006/relationships/hyperlink" Target="https://doi.org/10.1083/jcb.200312045" TargetMode="External"/><Relationship Id="rId265" Type="http://schemas.openxmlformats.org/officeDocument/2006/relationships/hyperlink" Target="https://doi.org/10.1002/jcp.21904" TargetMode="External"/><Relationship Id="rId266" Type="http://schemas.openxmlformats.org/officeDocument/2006/relationships/hyperlink" Target="https://doi.org/10.1016/j.cellsig.2013.12.001" TargetMode="External"/><Relationship Id="rId267" Type="http://schemas.openxmlformats.org/officeDocument/2006/relationships/hyperlink" Target="https://doi.org/10.3390/ijms222111355" TargetMode="External"/><Relationship Id="rId268" Type="http://schemas.openxmlformats.org/officeDocument/2006/relationships/hyperlink" Target="https://doi.org/10.1002/art.25051" TargetMode="External"/><Relationship Id="rId269" Type="http://schemas.openxmlformats.org/officeDocument/2006/relationships/hyperlink" Target="https://doi.org/10.1074/jbc.m411793200" TargetMode="External"/><Relationship Id="rId270" Type="http://schemas.openxmlformats.org/officeDocument/2006/relationships/hyperlink" Target="https://doi.org/10.1210/me.2010-0037" TargetMode="External"/><Relationship Id="rId271" Type="http://schemas.openxmlformats.org/officeDocument/2006/relationships/hyperlink" Target="https://doi.org/10.1074/jbc.m604322200" TargetMode="External"/><Relationship Id="rId272" Type="http://schemas.openxmlformats.org/officeDocument/2006/relationships/hyperlink" Target="https://doi.org/10.1128/mcb.23.1.131-139.2003" TargetMode="External"/><Relationship Id="rId273" Type="http://schemas.openxmlformats.org/officeDocument/2006/relationships/hyperlink" Target="https://doi.org/10.1016/j.fob.2015.06.001" TargetMode="External"/><Relationship Id="rId274" Type="http://schemas.openxmlformats.org/officeDocument/2006/relationships/hyperlink" Target="https://doi.org/10.1172/jci.insight.131382" TargetMode="External"/><Relationship Id="rId275" Type="http://schemas.openxmlformats.org/officeDocument/2006/relationships/hyperlink" Target="https://doi.org/10.1097/brs.0000000000001235" TargetMode="External"/><Relationship Id="rId276" Type="http://schemas.openxmlformats.org/officeDocument/2006/relationships/hyperlink" Target="https://doi.org/10.1097/brs.0000000000001235" TargetMode="External"/><Relationship Id="rId277" Type="http://schemas.openxmlformats.org/officeDocument/2006/relationships/hyperlink" Target="https://doi.org/10.1093/cvr/cvu053" TargetMode="External"/><Relationship Id="rId278" Type="http://schemas.openxmlformats.org/officeDocument/2006/relationships/hyperlink" Target="https://doi.org/10.1161/atvbaha.117.310502" TargetMode="External"/><Relationship Id="rId279" Type="http://schemas.openxmlformats.org/officeDocument/2006/relationships/hyperlink" Target="https://doi.org/10.1053/joca.2002.0827" TargetMode="External"/><Relationship Id="rId280" Type="http://schemas.openxmlformats.org/officeDocument/2006/relationships/hyperlink" Target="https://doi.org/10.1101/gad.543109" TargetMode="External"/><Relationship Id="rId281" Type="http://schemas.openxmlformats.org/officeDocument/2006/relationships/hyperlink" Target="https://doi.org/10.1038/s41598-017-17289-y" TargetMode="External"/><Relationship Id="rId282" Type="http://schemas.openxmlformats.org/officeDocument/2006/relationships/hyperlink" Target="https://doi.org/10.1016/j.joca.2016.02.003" TargetMode="External"/><Relationship Id="rId283" Type="http://schemas.openxmlformats.org/officeDocument/2006/relationships/hyperlink" Target="https://doi.org/10.1359/jbmr.070322" TargetMode="External"/><Relationship Id="rId284" Type="http://schemas.openxmlformats.org/officeDocument/2006/relationships/hyperlink" Target="https://doi.org/10.1359/jbmr.070322" TargetMode="External"/><Relationship Id="rId285" Type="http://schemas.openxmlformats.org/officeDocument/2006/relationships/hyperlink" Target="https://doi.org/10.1359/jbmr.070322" TargetMode="External"/><Relationship Id="rId286" Type="http://schemas.openxmlformats.org/officeDocument/2006/relationships/hyperlink" Target="https://doi.org/10.1152/ajprenal.00591.2012" TargetMode="External"/><Relationship Id="rId287" Type="http://schemas.openxmlformats.org/officeDocument/2006/relationships/hyperlink" Target="https://doi.org/10.1073/pnas.1319569111" TargetMode="External"/><Relationship Id="rId288" Type="http://schemas.openxmlformats.org/officeDocument/2006/relationships/hyperlink" Target="https://doi.org/10.1159/000493225" TargetMode="External"/><Relationship Id="rId289" Type="http://schemas.openxmlformats.org/officeDocument/2006/relationships/hyperlink" Target="https://doi.org/10.1091/mbc.e08-12-1248" TargetMode="External"/><Relationship Id="rId290" Type="http://schemas.openxmlformats.org/officeDocument/2006/relationships/hyperlink" Target="https://doi.org/10.1002/art.24073" TargetMode="External"/><Relationship Id="rId291" Type="http://schemas.openxmlformats.org/officeDocument/2006/relationships/hyperlink" Target="https://doi.org/10.1002/art.24073" TargetMode="External"/><Relationship Id="rId292" Type="http://schemas.openxmlformats.org/officeDocument/2006/relationships/hyperlink" Target="https://doi.org/10.1186/s13075-014-0416-1" TargetMode="External"/><Relationship Id="rId293" Type="http://schemas.openxmlformats.org/officeDocument/2006/relationships/hyperlink" Target="https://doi.org/10.1074/jbc.m112.440552" TargetMode="External"/><Relationship Id="rId294" Type="http://schemas.openxmlformats.org/officeDocument/2006/relationships/hyperlink" Target="https://doi.org/10.1016/j.bbamcr.2023.119573" TargetMode="External"/><Relationship Id="rId295" Type="http://schemas.openxmlformats.org/officeDocument/2006/relationships/hyperlink" Target="https://doi.org/10.1016/j.cell.2015.07.013" TargetMode="External"/><Relationship Id="rId296" Type="http://schemas.openxmlformats.org/officeDocument/2006/relationships/hyperlink" Target="https://doi.org/10.1074/jbc.m107977200" TargetMode="External"/><Relationship Id="rId297" Type="http://schemas.openxmlformats.org/officeDocument/2006/relationships/hyperlink" Target="https://doi.org/10.1074/jbc.m808048200" TargetMode="External"/><Relationship Id="rId298" Type="http://schemas.openxmlformats.org/officeDocument/2006/relationships/hyperlink" Target="https://doi.org/10.1016/j.cell.2015.07.013" TargetMode="External"/><Relationship Id="rId299" Type="http://schemas.openxmlformats.org/officeDocument/2006/relationships/hyperlink" Target="https://doi.org/10.1074/jbc.m706638200" TargetMode="External"/><Relationship Id="rId300" Type="http://schemas.openxmlformats.org/officeDocument/2006/relationships/hyperlink" Target="https://doi.org/10.1096/fj.201802725rrr" TargetMode="External"/><Relationship Id="rId301" Type="http://schemas.openxmlformats.org/officeDocument/2006/relationships/hyperlink" Target="https://doi.org/10.1096/fj.201802725rrr" TargetMode="External"/><Relationship Id="rId302" Type="http://schemas.openxmlformats.org/officeDocument/2006/relationships/hyperlink" Target="https://doi.org/10.1111/cpr.12492" TargetMode="External"/><Relationship Id="rId303" Type="http://schemas.openxmlformats.org/officeDocument/2006/relationships/hyperlink" Target="https://doi.org/10.1016/j.spinee.2014.12.143" TargetMode="External"/><Relationship Id="rId304" Type="http://schemas.openxmlformats.org/officeDocument/2006/relationships/hyperlink" Target="https://doi.org/10.1111/j.1582-4934.2012.01553.x" TargetMode="External"/><Relationship Id="rId305" Type="http://schemas.openxmlformats.org/officeDocument/2006/relationships/hyperlink" Target="https://doi.org/10.1007/s00441-003-0836-8" TargetMode="External"/><Relationship Id="rId306" Type="http://schemas.openxmlformats.org/officeDocument/2006/relationships/hyperlink" Target="https://doi.org/10.1111/j.1582-4934.2012.01553.x" TargetMode="External"/><Relationship Id="rId307" Type="http://schemas.openxmlformats.org/officeDocument/2006/relationships/hyperlink" Target="https://doi.org/10.1002/cbin.11293" TargetMode="External"/><Relationship Id="rId308" Type="http://schemas.openxmlformats.org/officeDocument/2006/relationships/hyperlink" Target="https://doi.org/10.1091/mbc.e04-12-1082" TargetMode="External"/><Relationship Id="rId309" Type="http://schemas.openxmlformats.org/officeDocument/2006/relationships/hyperlink" Target="https://doi.org/10.1038/boneres.2017.8" TargetMode="External"/><Relationship Id="rId310" Type="http://schemas.openxmlformats.org/officeDocument/2006/relationships/hyperlink" Target="https://doi.org/10.1111/j.1067-1927.2005.130206.x" TargetMode="External"/><Relationship Id="rId311" Type="http://schemas.openxmlformats.org/officeDocument/2006/relationships/hyperlink" Target="https://doi.org/10.1152/ajpcell.00355.2021" TargetMode="External"/><Relationship Id="rId312" Type="http://schemas.openxmlformats.org/officeDocument/2006/relationships/hyperlink" Target="https://doi.org/10.1152/ajpcell.00355.2021" TargetMode="External"/><Relationship Id="rId313" Type="http://schemas.openxmlformats.org/officeDocument/2006/relationships/hyperlink" Target="https://doi.org/10.1016/j.cell.2015.07.013" TargetMode="External"/><Relationship Id="rId314" Type="http://schemas.openxmlformats.org/officeDocument/2006/relationships/hyperlink" Target="https://doi.org/10.1016/s0006-291x(02)00485-0" TargetMode="External"/><Relationship Id="rId315" Type="http://schemas.openxmlformats.org/officeDocument/2006/relationships/hyperlink" Target="https://doi.org/10.1074/jbc.m808048200" TargetMode="External"/><Relationship Id="rId316" Type="http://schemas.openxmlformats.org/officeDocument/2006/relationships/hyperlink" Target="https://doi.org/10.1155/2022/7655142" TargetMode="External"/><Relationship Id="rId317" Type="http://schemas.openxmlformats.org/officeDocument/2006/relationships/hyperlink" Target="https://doi.org/10.1016/j.bbrc.2024.150371" TargetMode="External"/><Relationship Id="rId318" Type="http://schemas.openxmlformats.org/officeDocument/2006/relationships/hyperlink" Target="https://doi.org/10.1074/jbc.m805711200" TargetMode="External"/><Relationship Id="rId319" Type="http://schemas.openxmlformats.org/officeDocument/2006/relationships/hyperlink" Target="https://doi.org/10.1038/s41419-025-08002-3" TargetMode="External"/><Relationship Id="rId320" Type="http://schemas.openxmlformats.org/officeDocument/2006/relationships/hyperlink" Target="https://doi.org/10.1096/fj.13-243741" TargetMode="External"/><Relationship Id="rId321" Type="http://schemas.openxmlformats.org/officeDocument/2006/relationships/hyperlink" Target="https://doi.org/10.1038/s41419-025-08002-3" TargetMode="External"/><Relationship Id="rId322" Type="http://schemas.openxmlformats.org/officeDocument/2006/relationships/hyperlink" Target="https://doi.org/10.1096/fj.13-243741" TargetMode="External"/><Relationship Id="rId323" Type="http://schemas.openxmlformats.org/officeDocument/2006/relationships/hyperlink" Target="https://doi.org/10.1007/s00264-013-2144-6" TargetMode="External"/><Relationship Id="rId324" Type="http://schemas.openxmlformats.org/officeDocument/2006/relationships/vmlDrawing" Target="../drawings/vmlDrawing1.vml"/><Relationship Id="rId325"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doi.org/10.1002/1529-0131(200103)44:3%3C595::aid-anr108%3E3.0.co;2-8" TargetMode="External"/><Relationship Id="rId2" Type="http://schemas.openxmlformats.org/officeDocument/2006/relationships/hyperlink" Target="https://doi.org/10.1002/1529-0131(200110)44:10%3C2296::aid-art392%3E3.0.co;2-9" TargetMode="External"/><Relationship Id="rId3" Type="http://schemas.openxmlformats.org/officeDocument/2006/relationships/hyperlink" Target="https://doi.org/10.1002/advs.202105466" TargetMode="External"/><Relationship Id="rId4" Type="http://schemas.openxmlformats.org/officeDocument/2006/relationships/hyperlink" Target="https://doi.org/10.1002/art.23504" TargetMode="External"/><Relationship Id="rId5" Type="http://schemas.openxmlformats.org/officeDocument/2006/relationships/hyperlink" Target="https://doi.org/10.1002/art.24073" TargetMode="External"/><Relationship Id="rId6" Type="http://schemas.openxmlformats.org/officeDocument/2006/relationships/hyperlink" Target="https://doi.org/10.1002/art.25051" TargetMode="External"/><Relationship Id="rId7" Type="http://schemas.openxmlformats.org/officeDocument/2006/relationships/hyperlink" Target="https://doi.org/10.1002/art.38791" TargetMode="External"/><Relationship Id="rId8" Type="http://schemas.openxmlformats.org/officeDocument/2006/relationships/hyperlink" Target="https://doi.org/10.1002/art.38868" TargetMode="External"/><Relationship Id="rId9" Type="http://schemas.openxmlformats.org/officeDocument/2006/relationships/hyperlink" Target="https://doi.org/10.1002/cbin.11293" TargetMode="External"/><Relationship Id="rId10" Type="http://schemas.openxmlformats.org/officeDocument/2006/relationships/hyperlink" Target="https://doi.org/10.1002/dvdy.20323" TargetMode="External"/><Relationship Id="rId11" Type="http://schemas.openxmlformats.org/officeDocument/2006/relationships/hyperlink" Target="https://doi.org/10.1002/humu.9503" TargetMode="External"/><Relationship Id="rId12" Type="http://schemas.openxmlformats.org/officeDocument/2006/relationships/hyperlink" Target="https://doi.org/10.1002/jbmr.174" TargetMode="External"/><Relationship Id="rId13" Type="http://schemas.openxmlformats.org/officeDocument/2006/relationships/hyperlink" Target="https://doi.org/10.1002/jbmr.4019" TargetMode="External"/><Relationship Id="rId14" Type="http://schemas.openxmlformats.org/officeDocument/2006/relationships/hyperlink" Target="https://doi.org/10.1002/jbmr.4300" TargetMode="External"/><Relationship Id="rId15" Type="http://schemas.openxmlformats.org/officeDocument/2006/relationships/hyperlink" Target="https://doi.org/10.1002/jbmr.561" TargetMode="External"/><Relationship Id="rId16" Type="http://schemas.openxmlformats.org/officeDocument/2006/relationships/hyperlink" Target="https://doi.org/10.1002/jcb.1163" TargetMode="External"/><Relationship Id="rId17" Type="http://schemas.openxmlformats.org/officeDocument/2006/relationships/hyperlink" Target="https://doi.org/10.1002/jcb.20351" TargetMode="External"/><Relationship Id="rId18" Type="http://schemas.openxmlformats.org/officeDocument/2006/relationships/hyperlink" Target="https://doi.org/10.1002/jcb.21198" TargetMode="External"/><Relationship Id="rId19" Type="http://schemas.openxmlformats.org/officeDocument/2006/relationships/hyperlink" Target="https://doi.org/10.1002/jcb.25099" TargetMode="External"/><Relationship Id="rId20" Type="http://schemas.openxmlformats.org/officeDocument/2006/relationships/hyperlink" Target="https://doi.org/10.1002/jcb.27683" TargetMode="External"/><Relationship Id="rId21" Type="http://schemas.openxmlformats.org/officeDocument/2006/relationships/hyperlink" Target="https://doi.org/10.1002/jcp.21904" TargetMode="External"/><Relationship Id="rId22" Type="http://schemas.openxmlformats.org/officeDocument/2006/relationships/hyperlink" Target="https://doi.org/10.1002/jor.23583" TargetMode="External"/><Relationship Id="rId23" Type="http://schemas.openxmlformats.org/officeDocument/2006/relationships/hyperlink" Target="https://doi.org/10.1002/lary.20157" TargetMode="External"/><Relationship Id="rId24" Type="http://schemas.openxmlformats.org/officeDocument/2006/relationships/hyperlink" Target="https://doi.org/10.1002/path.2578" TargetMode="External"/><Relationship Id="rId25" Type="http://schemas.openxmlformats.org/officeDocument/2006/relationships/hyperlink" Target="https://doi.org/10.1002/stem.1476" TargetMode="External"/><Relationship Id="rId26" Type="http://schemas.openxmlformats.org/officeDocument/2006/relationships/hyperlink" Target="https://doi.org/10.1007/bf00229313" TargetMode="External"/><Relationship Id="rId27" Type="http://schemas.openxmlformats.org/officeDocument/2006/relationships/hyperlink" Target="https://doi.org/10.1007/s00018-023-05094-y" TargetMode="External"/><Relationship Id="rId28" Type="http://schemas.openxmlformats.org/officeDocument/2006/relationships/hyperlink" Target="https://doi.org/10.1007/s00018-025-05824-4" TargetMode="External"/><Relationship Id="rId29" Type="http://schemas.openxmlformats.org/officeDocument/2006/relationships/hyperlink" Target="https://doi.org/10.1007/s00264-013-2144-6" TargetMode="External"/><Relationship Id="rId30" Type="http://schemas.openxmlformats.org/officeDocument/2006/relationships/hyperlink" Target="https://doi.org/10.1007/s00418-005-0026-8" TargetMode="External"/><Relationship Id="rId31" Type="http://schemas.openxmlformats.org/officeDocument/2006/relationships/hyperlink" Target="https://doi.org/10.1007/s00441-003-0836-8" TargetMode="External"/><Relationship Id="rId32" Type="http://schemas.openxmlformats.org/officeDocument/2006/relationships/hyperlink" Target="https://doi.org/10.1007/s10753-022-01770-6" TargetMode="External"/><Relationship Id="rId33" Type="http://schemas.openxmlformats.org/officeDocument/2006/relationships/hyperlink" Target="https://doi.org/10.1007/s12551-017-0308-0" TargetMode="External"/><Relationship Id="rId34" Type="http://schemas.openxmlformats.org/officeDocument/2006/relationships/hyperlink" Target="https://doi.org/10.1016/0167-4838(83)90140-1" TargetMode="External"/><Relationship Id="rId35" Type="http://schemas.openxmlformats.org/officeDocument/2006/relationships/hyperlink" Target="https://doi.org/10.1016/j.ajpath.2024.05.004" TargetMode="External"/><Relationship Id="rId36" Type="http://schemas.openxmlformats.org/officeDocument/2006/relationships/hyperlink" Target="https://doi.org/10.1016/j.bbamcr.2008.12.003" TargetMode="External"/><Relationship Id="rId37" Type="http://schemas.openxmlformats.org/officeDocument/2006/relationships/hyperlink" Target="https://doi.org/10.1016/j.bbamcr.2023.119573" TargetMode="External"/><Relationship Id="rId38" Type="http://schemas.openxmlformats.org/officeDocument/2006/relationships/hyperlink" Target="https://doi.org/10.1016/j.bbrc.2017.05.086" TargetMode="External"/><Relationship Id="rId39" Type="http://schemas.openxmlformats.org/officeDocument/2006/relationships/hyperlink" Target="https://doi.org/10.1016/j.bbrc.2024.150371" TargetMode="External"/><Relationship Id="rId40" Type="http://schemas.openxmlformats.org/officeDocument/2006/relationships/hyperlink" Target="https://doi.org/10.1016/j.ceb.2009.05.006" TargetMode="External"/><Relationship Id="rId41" Type="http://schemas.openxmlformats.org/officeDocument/2006/relationships/hyperlink" Target="https://doi.org/10.1016/j.cell.2006.03.046" TargetMode="External"/><Relationship Id="rId42" Type="http://schemas.openxmlformats.org/officeDocument/2006/relationships/hyperlink" Target="https://doi.org/10.1016/j.cell.2006.06.055" TargetMode="External"/><Relationship Id="rId43" Type="http://schemas.openxmlformats.org/officeDocument/2006/relationships/hyperlink" Target="https://doi.org/10.1016/j.cell.2012.06.037" TargetMode="External"/><Relationship Id="rId44" Type="http://schemas.openxmlformats.org/officeDocument/2006/relationships/hyperlink" Target="https://doi.org/10.1016/j.cell.2015.07.013" TargetMode="External"/><Relationship Id="rId45" Type="http://schemas.openxmlformats.org/officeDocument/2006/relationships/hyperlink" Target="https://doi.org/10.1016/j.cell.2024.02.007" TargetMode="External"/><Relationship Id="rId46" Type="http://schemas.openxmlformats.org/officeDocument/2006/relationships/hyperlink" Target="https://doi.org/10.1016/j.cellsig.2013.12.001" TargetMode="External"/><Relationship Id="rId47" Type="http://schemas.openxmlformats.org/officeDocument/2006/relationships/hyperlink" Target="https://doi.org/10.1016/j.cellsig.2026.112769" TargetMode="External"/><Relationship Id="rId48" Type="http://schemas.openxmlformats.org/officeDocument/2006/relationships/hyperlink" Target="https://doi.org/10.1016/j.cmet.2005.06.005" TargetMode="External"/><Relationship Id="rId49" Type="http://schemas.openxmlformats.org/officeDocument/2006/relationships/hyperlink" Target="https://doi.org/10.1016/j.cub.2005.02.053" TargetMode="External"/><Relationship Id="rId50" Type="http://schemas.openxmlformats.org/officeDocument/2006/relationships/hyperlink" Target="https://doi.org/10.1016/j.fob.2015.06.001" TargetMode="External"/><Relationship Id="rId51" Type="http://schemas.openxmlformats.org/officeDocument/2006/relationships/hyperlink" Target="https://doi.org/10.1016/j.freeradbiomed.2009.02.019" TargetMode="External"/><Relationship Id="rId52" Type="http://schemas.openxmlformats.org/officeDocument/2006/relationships/hyperlink" Target="https://doi.org/10.1016/j.gene.2019.04.020" TargetMode="External"/><Relationship Id="rId53" Type="http://schemas.openxmlformats.org/officeDocument/2006/relationships/hyperlink" Target="https://doi.org/10.1016/j.ijcard.2021.08.007" TargetMode="External"/><Relationship Id="rId54" Type="http://schemas.openxmlformats.org/officeDocument/2006/relationships/hyperlink" Target="https://doi.org/10.1016/j.intimp.2019.04.012" TargetMode="External"/><Relationship Id="rId55" Type="http://schemas.openxmlformats.org/officeDocument/2006/relationships/hyperlink" Target="https://doi.org/10.1016/j.intimp.2020.106681" TargetMode="External"/><Relationship Id="rId56" Type="http://schemas.openxmlformats.org/officeDocument/2006/relationships/hyperlink" Target="https://doi.org/10.1016/j.joca.2008.04.006" TargetMode="External"/><Relationship Id="rId57" Type="http://schemas.openxmlformats.org/officeDocument/2006/relationships/hyperlink" Target="https://doi.org/10.1016/j.joca.2008.04.027" TargetMode="External"/><Relationship Id="rId58" Type="http://schemas.openxmlformats.org/officeDocument/2006/relationships/hyperlink" Target="https://doi.org/10.1016/j.joca.2014.06.031" TargetMode="External"/><Relationship Id="rId59" Type="http://schemas.openxmlformats.org/officeDocument/2006/relationships/hyperlink" Target="https://doi.org/10.1016/j.joca.2015.02.168" TargetMode="External"/><Relationship Id="rId60" Type="http://schemas.openxmlformats.org/officeDocument/2006/relationships/hyperlink" Target="https://doi.org/10.1016/j.joca.2016.02.003" TargetMode="External"/><Relationship Id="rId61" Type="http://schemas.openxmlformats.org/officeDocument/2006/relationships/hyperlink" Target="https://doi.org/10.1016/j.joca.2017.08.019" TargetMode="External"/><Relationship Id="rId62" Type="http://schemas.openxmlformats.org/officeDocument/2006/relationships/hyperlink" Target="https://doi.org/10.1016/j.jot.2023.03.002" TargetMode="External"/><Relationship Id="rId63" Type="http://schemas.openxmlformats.org/officeDocument/2006/relationships/hyperlink" Target="https://doi.org/10.1016/j.jot.2025.01.013" TargetMode="External"/><Relationship Id="rId64" Type="http://schemas.openxmlformats.org/officeDocument/2006/relationships/hyperlink" Target="https://doi.org/10.1016/j.lfs.2019.116565" TargetMode="External"/><Relationship Id="rId65" Type="http://schemas.openxmlformats.org/officeDocument/2006/relationships/hyperlink" Target="https://doi.org/10.1016/j.mad.2022.111715" TargetMode="External"/><Relationship Id="rId66" Type="http://schemas.openxmlformats.org/officeDocument/2006/relationships/hyperlink" Target="https://doi.org/10.1016/j.matbio.2020.09.003" TargetMode="External"/><Relationship Id="rId67" Type="http://schemas.openxmlformats.org/officeDocument/2006/relationships/hyperlink" Target="https://doi.org/10.1016/j.molcel.2010.07.022" TargetMode="External"/><Relationship Id="rId68" Type="http://schemas.openxmlformats.org/officeDocument/2006/relationships/hyperlink" Target="https://doi.org/10.1016/j.spinee.2014.12.143" TargetMode="External"/><Relationship Id="rId69" Type="http://schemas.openxmlformats.org/officeDocument/2006/relationships/hyperlink" Target="https://doi.org/10.1016/j.steroids.2005.04.007" TargetMode="External"/><Relationship Id="rId70" Type="http://schemas.openxmlformats.org/officeDocument/2006/relationships/hyperlink" Target="https://doi.org/10.1016/j.ydbio.2010.02.024" TargetMode="External"/><Relationship Id="rId71" Type="http://schemas.openxmlformats.org/officeDocument/2006/relationships/hyperlink" Target="https://doi.org/10.1016/s0006-291x(02)00485-0" TargetMode="External"/><Relationship Id="rId72" Type="http://schemas.openxmlformats.org/officeDocument/2006/relationships/hyperlink" Target="https://doi.org/10.1016/s0022-2836(02)01404-3" TargetMode="External"/><Relationship Id="rId73" Type="http://schemas.openxmlformats.org/officeDocument/2006/relationships/hyperlink" Target="https://doi.org/10.1016/s0960-9822(01)00225-1" TargetMode="External"/><Relationship Id="rId74" Type="http://schemas.openxmlformats.org/officeDocument/2006/relationships/hyperlink" Target="https://doi.org/10.1038/372786a0" TargetMode="External"/><Relationship Id="rId75" Type="http://schemas.openxmlformats.org/officeDocument/2006/relationships/hyperlink" Target="https://doi.org/10.1038/boneres.2017.8" TargetMode="External"/><Relationship Id="rId76" Type="http://schemas.openxmlformats.org/officeDocument/2006/relationships/hyperlink" Target="https://doi.org/10.1038/cdd.2017.186" TargetMode="External"/><Relationship Id="rId77" Type="http://schemas.openxmlformats.org/officeDocument/2006/relationships/hyperlink" Target="https://doi.org/10.1038/emm.2000.18" TargetMode="External"/><Relationship Id="rId78" Type="http://schemas.openxmlformats.org/officeDocument/2006/relationships/hyperlink" Target="https://doi.org/10.1038/ncb1676" TargetMode="External"/><Relationship Id="rId79" Type="http://schemas.openxmlformats.org/officeDocument/2006/relationships/hyperlink" Target="https://doi.org/10.1038/nm.2146" TargetMode="External"/><Relationship Id="rId80" Type="http://schemas.openxmlformats.org/officeDocument/2006/relationships/hyperlink" Target="https://doi.org/10.1038/onc.2014.164" TargetMode="External"/><Relationship Id="rId81" Type="http://schemas.openxmlformats.org/officeDocument/2006/relationships/hyperlink" Target="https://doi.org/10.1038/s12276-020-0441-x" TargetMode="External"/><Relationship Id="rId82" Type="http://schemas.openxmlformats.org/officeDocument/2006/relationships/hyperlink" Target="https://doi.org/10.1038/s12276-021-00716-6" TargetMode="External"/><Relationship Id="rId83" Type="http://schemas.openxmlformats.org/officeDocument/2006/relationships/hyperlink" Target="https://doi.org/10.1038/s12276-022-00829-6" TargetMode="External"/><Relationship Id="rId84" Type="http://schemas.openxmlformats.org/officeDocument/2006/relationships/hyperlink" Target="https://doi.org/10.1038/s12276-024-01168-4" TargetMode="External"/><Relationship Id="rId85" Type="http://schemas.openxmlformats.org/officeDocument/2006/relationships/hyperlink" Target="https://doi.org/10.1038/s41388-018-0417-7" TargetMode="External"/><Relationship Id="rId86" Type="http://schemas.openxmlformats.org/officeDocument/2006/relationships/hyperlink" Target="https://doi.org/10.1038/s41392-021-00828-5" TargetMode="External"/><Relationship Id="rId87" Type="http://schemas.openxmlformats.org/officeDocument/2006/relationships/hyperlink" Target="https://doi.org/10.1038/s41419-019-1701-3" TargetMode="External"/><Relationship Id="rId88" Type="http://schemas.openxmlformats.org/officeDocument/2006/relationships/hyperlink" Target="https://doi.org/10.1038/s41419-019-2202-0" TargetMode="External"/><Relationship Id="rId89" Type="http://schemas.openxmlformats.org/officeDocument/2006/relationships/hyperlink" Target="https://doi.org/10.1038/s41419-025-08002-3" TargetMode="External"/><Relationship Id="rId90" Type="http://schemas.openxmlformats.org/officeDocument/2006/relationships/hyperlink" Target="https://doi.org/10.1038/s41556-023-01184-y" TargetMode="External"/><Relationship Id="rId91" Type="http://schemas.openxmlformats.org/officeDocument/2006/relationships/hyperlink" Target="https://doi.org/10.1038/s41598-017-17289-y" TargetMode="External"/><Relationship Id="rId92" Type="http://schemas.openxmlformats.org/officeDocument/2006/relationships/hyperlink" Target="https://doi.org/10.1038/s41598-021-81838-9" TargetMode="External"/><Relationship Id="rId93" Type="http://schemas.openxmlformats.org/officeDocument/2006/relationships/hyperlink" Target="https://doi.org/10.1038/s41598-021-82067-w" TargetMode="External"/><Relationship Id="rId94" Type="http://schemas.openxmlformats.org/officeDocument/2006/relationships/hyperlink" Target="https://doi.org/10.1038/s42255-019-0157-1" TargetMode="External"/><Relationship Id="rId95" Type="http://schemas.openxmlformats.org/officeDocument/2006/relationships/hyperlink" Target="https://doi.org/10.1038/sj.cdd.4401963" TargetMode="External"/><Relationship Id="rId96" Type="http://schemas.openxmlformats.org/officeDocument/2006/relationships/hyperlink" Target="https://doi.org/10.1038/sj.cdd.4402028" TargetMode="External"/><Relationship Id="rId97" Type="http://schemas.openxmlformats.org/officeDocument/2006/relationships/hyperlink" Target="https://doi.org/10.1038/sj.emboj.7601126" TargetMode="External"/><Relationship Id="rId98" Type="http://schemas.openxmlformats.org/officeDocument/2006/relationships/hyperlink" Target="https://doi.org/10.1038/sj.onc.1203362" TargetMode="External"/><Relationship Id="rId99" Type="http://schemas.openxmlformats.org/officeDocument/2006/relationships/hyperlink" Target="https://doi.org/10.1038/srep23258" TargetMode="External"/><Relationship Id="rId100" Type="http://schemas.openxmlformats.org/officeDocument/2006/relationships/hyperlink" Target="https://doi.org/10.1038/srep29916" TargetMode="External"/><Relationship Id="rId101" Type="http://schemas.openxmlformats.org/officeDocument/2006/relationships/hyperlink" Target="https://doi.org/10.1042/bcj20190410" TargetMode="External"/><Relationship Id="rId102" Type="http://schemas.openxmlformats.org/officeDocument/2006/relationships/hyperlink" Target="https://doi.org/10.1042/cs20150622" TargetMode="External"/><Relationship Id="rId103" Type="http://schemas.openxmlformats.org/officeDocument/2006/relationships/hyperlink" Target="https://doi.org/10.1042/cs20258735" TargetMode="External"/><Relationship Id="rId104" Type="http://schemas.openxmlformats.org/officeDocument/2006/relationships/hyperlink" Target="https://doi.org/10.1046/j.1471-4159.2000.0750788.x" TargetMode="External"/><Relationship Id="rId105" Type="http://schemas.openxmlformats.org/officeDocument/2006/relationships/hyperlink" Target="https://doi.org/10.1046/j.1471-4159.2001.00495.x" TargetMode="External"/><Relationship Id="rId106" Type="http://schemas.openxmlformats.org/officeDocument/2006/relationships/hyperlink" Target="https://doi.org/10.1053/joca.2002.0827" TargetMode="External"/><Relationship Id="rId107" Type="http://schemas.openxmlformats.org/officeDocument/2006/relationships/hyperlink" Target="https://doi.org/10.1073/pnas.0600678103" TargetMode="External"/><Relationship Id="rId108" Type="http://schemas.openxmlformats.org/officeDocument/2006/relationships/hyperlink" Target="https://doi.org/10.1073/pnas.0808249105" TargetMode="External"/><Relationship Id="rId109" Type="http://schemas.openxmlformats.org/officeDocument/2006/relationships/hyperlink" Target="https://doi.org/10.1073/pnas.090491897" TargetMode="External"/><Relationship Id="rId110" Type="http://schemas.openxmlformats.org/officeDocument/2006/relationships/hyperlink" Target="https://doi.org/10.1073/pnas.1319569111" TargetMode="External"/><Relationship Id="rId111" Type="http://schemas.openxmlformats.org/officeDocument/2006/relationships/hyperlink" Target="https://doi.org/10.1073/pnas.2209184120" TargetMode="External"/><Relationship Id="rId112" Type="http://schemas.openxmlformats.org/officeDocument/2006/relationships/hyperlink" Target="https://doi.org/10.1074/jbc.271.44.27723" TargetMode="External"/><Relationship Id="rId113" Type="http://schemas.openxmlformats.org/officeDocument/2006/relationships/hyperlink" Target="https://doi.org/10.1074/jbc.271.7.3355" TargetMode="External"/><Relationship Id="rId114" Type="http://schemas.openxmlformats.org/officeDocument/2006/relationships/hyperlink" Target="https://doi.org/10.1074/jbc.273.22.13375" TargetMode="External"/><Relationship Id="rId115" Type="http://schemas.openxmlformats.org/officeDocument/2006/relationships/hyperlink" Target="https://doi.org/10.1074/jbc.273.3.1733" TargetMode="External"/><Relationship Id="rId116" Type="http://schemas.openxmlformats.org/officeDocument/2006/relationships/hyperlink" Target="https://doi.org/10.1074/jbc.275.5.3577" TargetMode="External"/><Relationship Id="rId117" Type="http://schemas.openxmlformats.org/officeDocument/2006/relationships/hyperlink" Target="https://doi.org/10.1074/jbc.a115.702571" TargetMode="External"/><Relationship Id="rId118" Type="http://schemas.openxmlformats.org/officeDocument/2006/relationships/hyperlink" Target="https://doi.org/10.1074/jbc.m107977200" TargetMode="External"/><Relationship Id="rId119" Type="http://schemas.openxmlformats.org/officeDocument/2006/relationships/hyperlink" Target="https://doi.org/10.1074/jbc.m109690200" TargetMode="External"/><Relationship Id="rId120" Type="http://schemas.openxmlformats.org/officeDocument/2006/relationships/hyperlink" Target="https://doi.org/10.1074/jbc.m111.284224" TargetMode="External"/><Relationship Id="rId121" Type="http://schemas.openxmlformats.org/officeDocument/2006/relationships/hyperlink" Target="https://doi.org/10.1074/jbc.m111.334466" TargetMode="External"/><Relationship Id="rId122" Type="http://schemas.openxmlformats.org/officeDocument/2006/relationships/hyperlink" Target="https://doi.org/10.1074/jbc.m112.365882" TargetMode="External"/><Relationship Id="rId123" Type="http://schemas.openxmlformats.org/officeDocument/2006/relationships/hyperlink" Target="https://doi.org/10.1074/jbc.m112.440552" TargetMode="External"/><Relationship Id="rId124" Type="http://schemas.openxmlformats.org/officeDocument/2006/relationships/hyperlink" Target="https://doi.org/10.1074/jbc.m115.702571" TargetMode="External"/><Relationship Id="rId125" Type="http://schemas.openxmlformats.org/officeDocument/2006/relationships/hyperlink" Target="https://doi.org/10.1074/jbc.m201283200" TargetMode="External"/><Relationship Id="rId126" Type="http://schemas.openxmlformats.org/officeDocument/2006/relationships/hyperlink" Target="https://doi.org/10.1074/jbc.m208300200" TargetMode="External"/><Relationship Id="rId127" Type="http://schemas.openxmlformats.org/officeDocument/2006/relationships/hyperlink" Target="https://doi.org/10.1074/jbc.m311033200" TargetMode="External"/><Relationship Id="rId128" Type="http://schemas.openxmlformats.org/officeDocument/2006/relationships/hyperlink" Target="https://doi.org/10.1074/jbc.m411793200" TargetMode="External"/><Relationship Id="rId129" Type="http://schemas.openxmlformats.org/officeDocument/2006/relationships/hyperlink" Target="https://doi.org/10.1074/jbc.m508510200" TargetMode="External"/><Relationship Id="rId130" Type="http://schemas.openxmlformats.org/officeDocument/2006/relationships/hyperlink" Target="https://doi.org/10.1074/jbc.m604322200" TargetMode="External"/><Relationship Id="rId131" Type="http://schemas.openxmlformats.org/officeDocument/2006/relationships/hyperlink" Target="https://doi.org/10.1074/jbc.m608086200" TargetMode="External"/><Relationship Id="rId132" Type="http://schemas.openxmlformats.org/officeDocument/2006/relationships/hyperlink" Target="https://doi.org/10.1074/jbc.m608995200" TargetMode="External"/><Relationship Id="rId133" Type="http://schemas.openxmlformats.org/officeDocument/2006/relationships/hyperlink" Target="https://doi.org/10.1074/jbc.m706638200" TargetMode="External"/><Relationship Id="rId134" Type="http://schemas.openxmlformats.org/officeDocument/2006/relationships/hyperlink" Target="https://doi.org/10.1074/jbc.m805711200" TargetMode="External"/><Relationship Id="rId135" Type="http://schemas.openxmlformats.org/officeDocument/2006/relationships/hyperlink" Target="https://doi.org/10.1074/jbc.m808048200" TargetMode="External"/><Relationship Id="rId136" Type="http://schemas.openxmlformats.org/officeDocument/2006/relationships/hyperlink" Target="https://doi.org/10.1080/03008207.2020.1736578" TargetMode="External"/><Relationship Id="rId137" Type="http://schemas.openxmlformats.org/officeDocument/2006/relationships/hyperlink" Target="https://doi.org/10.1080/03008207.2021.1952193" TargetMode="External"/><Relationship Id="rId138" Type="http://schemas.openxmlformats.org/officeDocument/2006/relationships/hyperlink" Target="https://doi.org/10.1083/jcb.200111073" TargetMode="External"/><Relationship Id="rId139" Type="http://schemas.openxmlformats.org/officeDocument/2006/relationships/hyperlink" Target="https://doi.org/10.1083/jcb.200211089" TargetMode="External"/><Relationship Id="rId140" Type="http://schemas.openxmlformats.org/officeDocument/2006/relationships/hyperlink" Target="https://doi.org/10.1083/jcb.200312045" TargetMode="External"/><Relationship Id="rId141" Type="http://schemas.openxmlformats.org/officeDocument/2006/relationships/hyperlink" Target="https://doi.org/10.1083/jcb.200805048" TargetMode="External"/><Relationship Id="rId142" Type="http://schemas.openxmlformats.org/officeDocument/2006/relationships/hyperlink" Target="https://doi.org/10.1089/scd.2010.0465" TargetMode="External"/><Relationship Id="rId143" Type="http://schemas.openxmlformats.org/officeDocument/2006/relationships/hyperlink" Target="https://doi.org/10.1091/mbc.e04-12-1082" TargetMode="External"/><Relationship Id="rId144" Type="http://schemas.openxmlformats.org/officeDocument/2006/relationships/hyperlink" Target="https://doi.org/10.1091/mbc.e06-03-0207" TargetMode="External"/><Relationship Id="rId145" Type="http://schemas.openxmlformats.org/officeDocument/2006/relationships/hyperlink" Target="https://doi.org/10.1091/mbc.e08-12-1248" TargetMode="External"/><Relationship Id="rId146" Type="http://schemas.openxmlformats.org/officeDocument/2006/relationships/hyperlink" Target="https://doi.org/10.1093/cvr/cvu053" TargetMode="External"/><Relationship Id="rId147" Type="http://schemas.openxmlformats.org/officeDocument/2006/relationships/hyperlink" Target="https://doi.org/10.1093/emboj/17.2.414" TargetMode="External"/><Relationship Id="rId148" Type="http://schemas.openxmlformats.org/officeDocument/2006/relationships/hyperlink" Target="https://doi.org/10.1096/fj.13-243741" TargetMode="External"/><Relationship Id="rId149" Type="http://schemas.openxmlformats.org/officeDocument/2006/relationships/hyperlink" Target="https://doi.org/10.1096/fj.201802725rrr" TargetMode="External"/><Relationship Id="rId150" Type="http://schemas.openxmlformats.org/officeDocument/2006/relationships/hyperlink" Target="https://doi.org/10.1097/01.brs.0000159096.11248.6d" TargetMode="External"/><Relationship Id="rId151" Type="http://schemas.openxmlformats.org/officeDocument/2006/relationships/hyperlink" Target="https://doi.org/10.1097/brs.0000000000001220" TargetMode="External"/><Relationship Id="rId152" Type="http://schemas.openxmlformats.org/officeDocument/2006/relationships/hyperlink" Target="https://doi.org/10.1097/brs.0000000000001235" TargetMode="External"/><Relationship Id="rId153" Type="http://schemas.openxmlformats.org/officeDocument/2006/relationships/hyperlink" Target="https://doi.org/10.1101/gad.1230704" TargetMode="External"/><Relationship Id="rId154" Type="http://schemas.openxmlformats.org/officeDocument/2006/relationships/hyperlink" Target="https://doi.org/10.1101/gad.1482906" TargetMode="External"/><Relationship Id="rId155" Type="http://schemas.openxmlformats.org/officeDocument/2006/relationships/hyperlink" Target="https://doi.org/10.1101/gad.219402.113" TargetMode="External"/><Relationship Id="rId156" Type="http://schemas.openxmlformats.org/officeDocument/2006/relationships/hyperlink" Target="https://doi.org/10.1101/gad.543109" TargetMode="External"/><Relationship Id="rId157" Type="http://schemas.openxmlformats.org/officeDocument/2006/relationships/hyperlink" Target="https://doi.org/10.1111/cpr.12492" TargetMode="External"/><Relationship Id="rId158" Type="http://schemas.openxmlformats.org/officeDocument/2006/relationships/hyperlink" Target="https://doi.org/10.1111/cpr.13438" TargetMode="External"/><Relationship Id="rId159" Type="http://schemas.openxmlformats.org/officeDocument/2006/relationships/hyperlink" Target="https://doi.org/10.1111/j.1067-1927.2005.130206.x" TargetMode="External"/><Relationship Id="rId160" Type="http://schemas.openxmlformats.org/officeDocument/2006/relationships/hyperlink" Target="https://doi.org/10.1111/j.1476-5381.2009.00143.x" TargetMode="External"/><Relationship Id="rId161" Type="http://schemas.openxmlformats.org/officeDocument/2006/relationships/hyperlink" Target="https://doi.org/10.1111/j.1582-4934.2012.01553.x" TargetMode="External"/><Relationship Id="rId162" Type="http://schemas.openxmlformats.org/officeDocument/2006/relationships/hyperlink" Target="https://doi.org/10.1111/jcmm.18048" TargetMode="External"/><Relationship Id="rId163" Type="http://schemas.openxmlformats.org/officeDocument/2006/relationships/hyperlink" Target="https://doi.org/10.1124/mol.109.056473" TargetMode="External"/><Relationship Id="rId164" Type="http://schemas.openxmlformats.org/officeDocument/2006/relationships/hyperlink" Target="https://doi.org/10.1126/science.1068712" TargetMode="External"/><Relationship Id="rId165" Type="http://schemas.openxmlformats.org/officeDocument/2006/relationships/hyperlink" Target="https://doi.org/10.1126/science.1165946" TargetMode="External"/><Relationship Id="rId166" Type="http://schemas.openxmlformats.org/officeDocument/2006/relationships/hyperlink" Target="https://doi.org/10.1126/science.271.5249.645" TargetMode="External"/><Relationship Id="rId167" Type="http://schemas.openxmlformats.org/officeDocument/2006/relationships/hyperlink" Target="https://doi.org/10.1126/science.277.5325.567" TargetMode="External"/><Relationship Id="rId168" Type="http://schemas.openxmlformats.org/officeDocument/2006/relationships/hyperlink" Target="https://doi.org/10.1128/mcb.00015-07" TargetMode="External"/><Relationship Id="rId169" Type="http://schemas.openxmlformats.org/officeDocument/2006/relationships/hyperlink" Target="https://doi.org/10.1128/mcb.00409-10" TargetMode="External"/><Relationship Id="rId170" Type="http://schemas.openxmlformats.org/officeDocument/2006/relationships/hyperlink" Target="https://doi.org/10.1128/mcb.00601-09" TargetMode="External"/><Relationship Id="rId171" Type="http://schemas.openxmlformats.org/officeDocument/2006/relationships/hyperlink" Target="https://doi.org/10.1128/mcb.01204-10" TargetMode="External"/><Relationship Id="rId172" Type="http://schemas.openxmlformats.org/officeDocument/2006/relationships/hyperlink" Target="https://doi.org/10.1128/mcb.23.1.131-139.2003" TargetMode="External"/><Relationship Id="rId173" Type="http://schemas.openxmlformats.org/officeDocument/2006/relationships/hyperlink" Target="https://doi.org/10.1152/ajpcell.00355.2021" TargetMode="External"/><Relationship Id="rId174" Type="http://schemas.openxmlformats.org/officeDocument/2006/relationships/hyperlink" Target="https://doi.org/10.1152/ajprenal.00591.2012" TargetMode="External"/><Relationship Id="rId175" Type="http://schemas.openxmlformats.org/officeDocument/2006/relationships/hyperlink" Target="https://doi.org/10.1152/physrev.00026.2020" TargetMode="External"/><Relationship Id="rId176" Type="http://schemas.openxmlformats.org/officeDocument/2006/relationships/hyperlink" Target="https://doi.org/10.1155/2022/5635797" TargetMode="External"/><Relationship Id="rId177" Type="http://schemas.openxmlformats.org/officeDocument/2006/relationships/hyperlink" Target="https://doi.org/10.1155/2022/7655142" TargetMode="External"/><Relationship Id="rId178" Type="http://schemas.openxmlformats.org/officeDocument/2006/relationships/hyperlink" Target="https://doi.org/10.1159/000489804" TargetMode="External"/><Relationship Id="rId179" Type="http://schemas.openxmlformats.org/officeDocument/2006/relationships/hyperlink" Target="https://doi.org/10.1159/000493225" TargetMode="External"/><Relationship Id="rId180" Type="http://schemas.openxmlformats.org/officeDocument/2006/relationships/hyperlink" Target="https://doi.org/10.1160/th13-06-0484" TargetMode="External"/><Relationship Id="rId181" Type="http://schemas.openxmlformats.org/officeDocument/2006/relationships/hyperlink" Target="https://doi.org/10.1161/atvbaha.117.310502" TargetMode="External"/><Relationship Id="rId182" Type="http://schemas.openxmlformats.org/officeDocument/2006/relationships/hyperlink" Target="https://doi.org/10.1164/rccm.200907-1047oc" TargetMode="External"/><Relationship Id="rId183" Type="http://schemas.openxmlformats.org/officeDocument/2006/relationships/hyperlink" Target="https://doi.org/10.1172/jci.insight.131382" TargetMode="External"/><Relationship Id="rId184" Type="http://schemas.openxmlformats.org/officeDocument/2006/relationships/hyperlink" Target="https://doi.org/10.1182/blood-2005-09-3541" TargetMode="External"/><Relationship Id="rId185" Type="http://schemas.openxmlformats.org/officeDocument/2006/relationships/hyperlink" Target="https://doi.org/10.1186/ar1765" TargetMode="External"/><Relationship Id="rId186" Type="http://schemas.openxmlformats.org/officeDocument/2006/relationships/hyperlink" Target="https://doi.org/10.1186/ar2151" TargetMode="External"/><Relationship Id="rId187" Type="http://schemas.openxmlformats.org/officeDocument/2006/relationships/hyperlink" Target="https://doi.org/10.1186/ar4254" TargetMode="External"/><Relationship Id="rId188" Type="http://schemas.openxmlformats.org/officeDocument/2006/relationships/hyperlink" Target="https://doi.org/10.1186/bcr922" TargetMode="External"/><Relationship Id="rId189" Type="http://schemas.openxmlformats.org/officeDocument/2006/relationships/hyperlink" Target="https://doi.org/10.1186/s11658-023-00489-y" TargetMode="External"/><Relationship Id="rId190" Type="http://schemas.openxmlformats.org/officeDocument/2006/relationships/hyperlink" Target="https://doi.org/10.1186/s12950-024-00398-7" TargetMode="External"/><Relationship Id="rId191" Type="http://schemas.openxmlformats.org/officeDocument/2006/relationships/hyperlink" Target="https://doi.org/10.1186/s12951-023-02075-y" TargetMode="External"/><Relationship Id="rId192" Type="http://schemas.openxmlformats.org/officeDocument/2006/relationships/hyperlink" Target="https://doi.org/10.1186/s12967-016-0833-9" TargetMode="External"/><Relationship Id="rId193" Type="http://schemas.openxmlformats.org/officeDocument/2006/relationships/hyperlink" Target="https://doi.org/10.1186/s13018-015-0296-3" TargetMode="External"/><Relationship Id="rId194" Type="http://schemas.openxmlformats.org/officeDocument/2006/relationships/hyperlink" Target="https://doi.org/10.1186/s13018-023-03815-4" TargetMode="External"/><Relationship Id="rId195" Type="http://schemas.openxmlformats.org/officeDocument/2006/relationships/hyperlink" Target="https://doi.org/10.1186/s13075-014-0416-1" TargetMode="External"/><Relationship Id="rId196" Type="http://schemas.openxmlformats.org/officeDocument/2006/relationships/hyperlink" Target="https://doi.org/10.1186/s13075-018-1723-8" TargetMode="External"/><Relationship Id="rId197" Type="http://schemas.openxmlformats.org/officeDocument/2006/relationships/hyperlink" Target="https://doi.org/10.1194/jlr.m700419-jlr200" TargetMode="External"/><Relationship Id="rId198" Type="http://schemas.openxmlformats.org/officeDocument/2006/relationships/hyperlink" Target="https://doi.org/10.1210/me.2010-0037" TargetMode="External"/><Relationship Id="rId199" Type="http://schemas.openxmlformats.org/officeDocument/2006/relationships/hyperlink" Target="https://doi.org/10.1242/dev.134502" TargetMode="External"/><Relationship Id="rId200" Type="http://schemas.openxmlformats.org/officeDocument/2006/relationships/hyperlink" Target="https://doi.org/10.1242/jcs.001586" TargetMode="External"/><Relationship Id="rId201" Type="http://schemas.openxmlformats.org/officeDocument/2006/relationships/hyperlink" Target="https://doi.org/10.1242/jcs.100107" TargetMode="External"/><Relationship Id="rId202" Type="http://schemas.openxmlformats.org/officeDocument/2006/relationships/hyperlink" Target="https://doi.org/10.12659/msm.913726" TargetMode="External"/><Relationship Id="rId203" Type="http://schemas.openxmlformats.org/officeDocument/2006/relationships/hyperlink" Target="https://doi.org/10.1359/jbmr.070322" TargetMode="External"/><Relationship Id="rId204" Type="http://schemas.openxmlformats.org/officeDocument/2006/relationships/hyperlink" Target="https://doi.org/10.1371/journal.pgen.1002356" TargetMode="External"/><Relationship Id="rId205" Type="http://schemas.openxmlformats.org/officeDocument/2006/relationships/hyperlink" Target="https://doi.org/10.1371/journal.pone.0039679" TargetMode="External"/><Relationship Id="rId206" Type="http://schemas.openxmlformats.org/officeDocument/2006/relationships/hyperlink" Target="https://doi.org/10.1371/journal.pone.0082045" TargetMode="External"/><Relationship Id="rId207" Type="http://schemas.openxmlformats.org/officeDocument/2006/relationships/hyperlink" Target="https://doi.org/10.1371/journal.pone.0158619" TargetMode="External"/><Relationship Id="rId208" Type="http://schemas.openxmlformats.org/officeDocument/2006/relationships/hyperlink" Target="https://doi.org/10.15252/embj.201489062" TargetMode="External"/><Relationship Id="rId209" Type="http://schemas.openxmlformats.org/officeDocument/2006/relationships/hyperlink" Target="https://doi.org/10.18632/oncotarget.18628" TargetMode="External"/><Relationship Id="rId210" Type="http://schemas.openxmlformats.org/officeDocument/2006/relationships/hyperlink" Target="https://doi.org/10.18632/oncotarget.3631" TargetMode="External"/><Relationship Id="rId211" Type="http://schemas.openxmlformats.org/officeDocument/2006/relationships/hyperlink" Target="https://doi.org/10.21037/atm-21-2701" TargetMode="External"/><Relationship Id="rId212" Type="http://schemas.openxmlformats.org/officeDocument/2006/relationships/hyperlink" Target="https://doi.org/10.2147/dddt.s203974" TargetMode="External"/><Relationship Id="rId213" Type="http://schemas.openxmlformats.org/officeDocument/2006/relationships/hyperlink" Target="https://doi.org/10.2147/jir.s444758" TargetMode="External"/><Relationship Id="rId214" Type="http://schemas.openxmlformats.org/officeDocument/2006/relationships/hyperlink" Target="https://doi.org/10.22203/ecm.v030a07" TargetMode="External"/><Relationship Id="rId215" Type="http://schemas.openxmlformats.org/officeDocument/2006/relationships/hyperlink" Target="https://doi.org/10.22203/ecm.v032a08" TargetMode="External"/><Relationship Id="rId216" Type="http://schemas.openxmlformats.org/officeDocument/2006/relationships/hyperlink" Target="https://doi.org/10.2460/ajvr.73.10.1553" TargetMode="External"/><Relationship Id="rId217" Type="http://schemas.openxmlformats.org/officeDocument/2006/relationships/hyperlink" Target="https://doi.org/10.3233/jad-2010-100465" TargetMode="External"/><Relationship Id="rId218" Type="http://schemas.openxmlformats.org/officeDocument/2006/relationships/hyperlink" Target="https://doi.org/10.3389/fcell.2023.1324561" TargetMode="External"/><Relationship Id="rId219" Type="http://schemas.openxmlformats.org/officeDocument/2006/relationships/hyperlink" Target="https://doi.org/10.3389/fcell.2024.1423665" TargetMode="External"/><Relationship Id="rId220" Type="http://schemas.openxmlformats.org/officeDocument/2006/relationships/hyperlink" Target="https://doi.org/10.3389/fphar.2017.00756" TargetMode="External"/><Relationship Id="rId221" Type="http://schemas.openxmlformats.org/officeDocument/2006/relationships/hyperlink" Target="https://doi.org/10.3389/fphar.2024.1476255" TargetMode="External"/><Relationship Id="rId222" Type="http://schemas.openxmlformats.org/officeDocument/2006/relationships/hyperlink" Target="https://doi.org/10.3390/antiox13060626" TargetMode="External"/><Relationship Id="rId223" Type="http://schemas.openxmlformats.org/officeDocument/2006/relationships/hyperlink" Target="https://doi.org/10.3390/cells9010147" TargetMode="External"/><Relationship Id="rId224" Type="http://schemas.openxmlformats.org/officeDocument/2006/relationships/hyperlink" Target="https://doi.org/10.3390/ijms15011176" TargetMode="External"/><Relationship Id="rId225" Type="http://schemas.openxmlformats.org/officeDocument/2006/relationships/hyperlink" Target="https://doi.org/10.3390/ijms20040972" TargetMode="External"/><Relationship Id="rId226" Type="http://schemas.openxmlformats.org/officeDocument/2006/relationships/hyperlink" Target="https://doi.org/10.3390/ijms222011082" TargetMode="External"/><Relationship Id="rId227" Type="http://schemas.openxmlformats.org/officeDocument/2006/relationships/hyperlink" Target="https://doi.org/10.3390/ijms222111355" TargetMode="External"/><Relationship Id="rId228" Type="http://schemas.openxmlformats.org/officeDocument/2006/relationships/hyperlink" Target="https://doi.org/10.3390/ijms241210004" TargetMode="External"/><Relationship Id="rId229" Type="http://schemas.openxmlformats.org/officeDocument/2006/relationships/hyperlink" Target="https://doi.org/10.3724/abbs.2024027" TargetMode="External"/><Relationship Id="rId230" Type="http://schemas.openxmlformats.org/officeDocument/2006/relationships/hyperlink" Target="https://doi.org/10.3892/etm.2022.11193" TargetMode="External"/><Relationship Id="rId231" Type="http://schemas.openxmlformats.org/officeDocument/2006/relationships/hyperlink" Target="https://doi.org/10.3892/ijmm.2017.3005" TargetMode="External"/><Relationship Id="rId232" Type="http://schemas.openxmlformats.org/officeDocument/2006/relationships/hyperlink" Target="https://doi.org/10.3892/ijmm.2018.3921" TargetMode="External"/><Relationship Id="rId233" Type="http://schemas.openxmlformats.org/officeDocument/2006/relationships/hyperlink" Target="https://doi.org/10.3892/ijmm.2021.4956" TargetMode="External"/><Relationship Id="rId234" Type="http://schemas.openxmlformats.org/officeDocument/2006/relationships/hyperlink" Target="https://doi.org/10.3892/mmr.2013.1729" TargetMode="External"/><Relationship Id="rId235" Type="http://schemas.openxmlformats.org/officeDocument/2006/relationships/hyperlink" Target="https://doi.org/10.4049/jimmunol.1402554" TargetMode="External"/><Relationship Id="rId236"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B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2" min="2" style="0" width="110"/>
  </cols>
  <sheetData>
    <row r="1" customFormat="false" ht="22.05" hidden="false" customHeight="false" outlineLevel="0" collapsed="false">
      <c r="A1" s="1" t="s">
        <v>0</v>
      </c>
    </row>
    <row r="2" customFormat="false" ht="15" hidden="false" customHeight="false" outlineLevel="0" collapsed="false">
      <c r="A2" s="2" t="s">
        <v>1</v>
      </c>
      <c r="B2" s="2"/>
    </row>
    <row r="4" customFormat="false" ht="15" hidden="false" customHeight="false" outlineLevel="0" collapsed="false">
      <c r="A4" s="3" t="s">
        <v>2</v>
      </c>
      <c r="B4" s="4"/>
    </row>
    <row r="5" customFormat="false" ht="42" hidden="false" customHeight="true" outlineLevel="0" collapsed="false">
      <c r="A5" s="5" t="s">
        <v>3</v>
      </c>
      <c r="B5" s="6" t="s">
        <v>4</v>
      </c>
    </row>
    <row r="6" customFormat="false" ht="15" hidden="false" customHeight="false" outlineLevel="0" collapsed="false">
      <c r="A6" s="5" t="s">
        <v>5</v>
      </c>
      <c r="B6" s="6" t="n">
        <f aca="false">COUNTA(Interactions!A:A)-1</f>
        <v>353</v>
      </c>
    </row>
    <row r="7" customFormat="false" ht="15" hidden="false" customHeight="false" outlineLevel="0" collapsed="false">
      <c r="A7" s="5" t="s">
        <v>6</v>
      </c>
      <c r="B7" s="6" t="n">
        <v>146</v>
      </c>
    </row>
    <row r="8" customFormat="false" ht="27.75" hidden="false" customHeight="true" outlineLevel="0" collapsed="false">
      <c r="A8" s="5" t="s">
        <v>7</v>
      </c>
      <c r="B8" s="6" t="s">
        <v>8</v>
      </c>
    </row>
    <row r="10" customFormat="false" ht="15" hidden="false" customHeight="false" outlineLevel="0" collapsed="false">
      <c r="A10" s="3" t="s">
        <v>9</v>
      </c>
      <c r="B10" s="4"/>
    </row>
    <row r="11" customFormat="false" ht="27.75" hidden="false" customHeight="true" outlineLevel="0" collapsed="false">
      <c r="A11" s="5" t="s">
        <v>5</v>
      </c>
      <c r="B11" s="6" t="s">
        <v>10</v>
      </c>
    </row>
    <row r="12" customFormat="false" ht="27.75" hidden="false" customHeight="true" outlineLevel="0" collapsed="false">
      <c r="A12" s="5" t="s">
        <v>11</v>
      </c>
      <c r="B12" s="6" t="s">
        <v>12</v>
      </c>
    </row>
    <row r="13" customFormat="false" ht="27.75" hidden="false" customHeight="true" outlineLevel="0" collapsed="false">
      <c r="A13" s="5" t="s">
        <v>13</v>
      </c>
      <c r="B13" s="6" t="s">
        <v>14</v>
      </c>
    </row>
    <row r="14" customFormat="false" ht="15" hidden="false" customHeight="false" outlineLevel="0" collapsed="false">
      <c r="A14" s="5" t="s">
        <v>15</v>
      </c>
      <c r="B14" s="6" t="s">
        <v>16</v>
      </c>
    </row>
    <row r="16" customFormat="false" ht="15" hidden="false" customHeight="false" outlineLevel="0" collapsed="false">
      <c r="A16" s="3" t="s">
        <v>17</v>
      </c>
      <c r="B16" s="4"/>
    </row>
    <row r="17" customFormat="false" ht="15" hidden="false" customHeight="false" outlineLevel="0" collapsed="false">
      <c r="A17" s="5" t="s">
        <v>18</v>
      </c>
      <c r="B17" s="6" t="s">
        <v>19</v>
      </c>
    </row>
    <row r="18" customFormat="false" ht="27.75" hidden="false" customHeight="true" outlineLevel="0" collapsed="false">
      <c r="A18" s="5" t="s">
        <v>20</v>
      </c>
      <c r="B18" s="6" t="s">
        <v>21</v>
      </c>
    </row>
    <row r="19" customFormat="false" ht="15" hidden="false" customHeight="false" outlineLevel="0" collapsed="false">
      <c r="A19" s="5" t="s">
        <v>22</v>
      </c>
      <c r="B19" s="6" t="s">
        <v>23</v>
      </c>
    </row>
    <row r="20" customFormat="false" ht="15" hidden="false" customHeight="false" outlineLevel="0" collapsed="false">
      <c r="A20" s="5" t="s">
        <v>24</v>
      </c>
      <c r="B20" s="6" t="s">
        <v>25</v>
      </c>
    </row>
    <row r="21" customFormat="false" ht="27.75" hidden="false" customHeight="true" outlineLevel="0" collapsed="false">
      <c r="A21" s="5" t="s">
        <v>26</v>
      </c>
      <c r="B21" s="6" t="s">
        <v>27</v>
      </c>
    </row>
    <row r="22" customFormat="false" ht="15" hidden="false" customHeight="false" outlineLevel="0" collapsed="false">
      <c r="A22" s="5" t="s">
        <v>28</v>
      </c>
      <c r="B22" s="6" t="s">
        <v>29</v>
      </c>
    </row>
    <row r="23" customFormat="false" ht="27.75" hidden="false" customHeight="true" outlineLevel="0" collapsed="false">
      <c r="A23" s="5" t="s">
        <v>30</v>
      </c>
      <c r="B23" s="6" t="s">
        <v>31</v>
      </c>
    </row>
    <row r="24" customFormat="false" ht="15" hidden="false" customHeight="false" outlineLevel="0" collapsed="false">
      <c r="A24" s="5" t="s">
        <v>32</v>
      </c>
      <c r="B24" s="6" t="s">
        <v>33</v>
      </c>
    </row>
    <row r="25" customFormat="false" ht="15" hidden="false" customHeight="false" outlineLevel="0" collapsed="false">
      <c r="A25" s="5" t="s">
        <v>15</v>
      </c>
      <c r="B25" s="6" t="s">
        <v>34</v>
      </c>
    </row>
    <row r="26" customFormat="false" ht="15" hidden="false" customHeight="false" outlineLevel="0" collapsed="false">
      <c r="A26" s="5" t="s">
        <v>35</v>
      </c>
      <c r="B26" s="6" t="s">
        <v>36</v>
      </c>
    </row>
    <row r="28" customFormat="false" ht="15" hidden="false" customHeight="false" outlineLevel="0" collapsed="false">
      <c r="A28" s="3" t="s">
        <v>37</v>
      </c>
      <c r="B28" s="4"/>
    </row>
    <row r="29" customFormat="false" ht="27.75" hidden="false" customHeight="true" outlineLevel="0" collapsed="false">
      <c r="A29" s="5" t="s">
        <v>38</v>
      </c>
      <c r="B29" s="6" t="s">
        <v>39</v>
      </c>
    </row>
    <row r="30" customFormat="false" ht="27.75" hidden="false" customHeight="true" outlineLevel="0" collapsed="false">
      <c r="A30" s="5" t="s">
        <v>40</v>
      </c>
      <c r="B30" s="6" t="s">
        <v>41</v>
      </c>
    </row>
    <row r="31" customFormat="false" ht="27.75" hidden="false" customHeight="true" outlineLevel="0" collapsed="false">
      <c r="A31" s="5" t="s">
        <v>42</v>
      </c>
      <c r="B31" s="6" t="s">
        <v>43</v>
      </c>
    </row>
    <row r="32" customFormat="false" ht="27.75" hidden="false" customHeight="true" outlineLevel="0" collapsed="false">
      <c r="A32" s="5" t="s">
        <v>44</v>
      </c>
      <c r="B32" s="6" t="s">
        <v>45</v>
      </c>
    </row>
    <row r="34" customFormat="false" ht="15" hidden="false" customHeight="false" outlineLevel="0" collapsed="false">
      <c r="A34" s="3" t="s">
        <v>46</v>
      </c>
      <c r="B34" s="4"/>
    </row>
    <row r="35" customFormat="false" ht="42" hidden="false" customHeight="true" outlineLevel="0" collapsed="false">
      <c r="A35" s="5" t="s">
        <v>47</v>
      </c>
      <c r="B35" s="6" t="s">
        <v>48</v>
      </c>
    </row>
    <row r="36" customFormat="false" ht="27.75" hidden="false" customHeight="true" outlineLevel="0" collapsed="false">
      <c r="A36" s="5" t="s">
        <v>49</v>
      </c>
      <c r="B36" s="6" t="s">
        <v>50</v>
      </c>
    </row>
    <row r="37" customFormat="false" ht="15" hidden="false" customHeight="false" outlineLevel="0" collapsed="false">
      <c r="A37" s="5" t="s">
        <v>51</v>
      </c>
      <c r="B37" s="6" t="s">
        <v>52</v>
      </c>
    </row>
    <row r="39" customFormat="false" ht="15" hidden="false" customHeight="false" outlineLevel="0" collapsed="false">
      <c r="A39" s="3" t="s">
        <v>53</v>
      </c>
      <c r="B39" s="4"/>
    </row>
    <row r="40" customFormat="false" ht="27.75" hidden="false" customHeight="true" outlineLevel="0" collapsed="false">
      <c r="A40" s="5" t="s">
        <v>54</v>
      </c>
      <c r="B40" s="6" t="s">
        <v>55</v>
      </c>
    </row>
    <row r="41" customFormat="false" ht="15" hidden="false" customHeight="false" outlineLevel="0" collapsed="false">
      <c r="A41" s="5" t="s">
        <v>56</v>
      </c>
      <c r="B41" s="6" t="s">
        <v>57</v>
      </c>
    </row>
    <row r="42" customFormat="false" ht="15" hidden="false" customHeight="false" outlineLevel="0" collapsed="false">
      <c r="A42" s="5" t="s">
        <v>58</v>
      </c>
      <c r="B42" s="6" t="s">
        <v>59</v>
      </c>
    </row>
  </sheetData>
  <mergeCells count="1">
    <mergeCell ref="A2:B2"/>
  </mergeCells>
  <printOptions headings="false" gridLines="false" gridLinesSet="true" horizontalCentered="tru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395"/>
    <pageSetUpPr fitToPage="true"/>
  </sheetPr>
  <dimension ref="A1:S3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6"/>
    <col collapsed="false" customWidth="true" hidden="false" outlineLevel="0" max="7" min="6" style="0" width="24"/>
    <col collapsed="false" customWidth="true" hidden="false" outlineLevel="0" max="9" min="8" style="0" width="20"/>
    <col collapsed="false" customWidth="true" hidden="false" outlineLevel="0" max="10" min="10" style="0" width="24"/>
    <col collapsed="false" customWidth="true" hidden="false" outlineLevel="0" max="11" min="11" style="0" width="16"/>
    <col collapsed="false" customWidth="true" hidden="false" outlineLevel="0" max="12" min="12" style="0" width="18"/>
    <col collapsed="false" customWidth="true" hidden="false" outlineLevel="0" max="13" min="13" style="0" width="13"/>
    <col collapsed="false" customWidth="true" hidden="false" outlineLevel="0" max="14" min="14" style="0" width="70"/>
    <col collapsed="false" customWidth="true" hidden="false" outlineLevel="0" max="15" min="15" style="0" width="26"/>
    <col collapsed="false" customWidth="true" hidden="false" outlineLevel="0" max="16" min="16" style="0" width="11"/>
    <col collapsed="false" customWidth="true" hidden="false" outlineLevel="0" max="17" min="17" style="0" width="40"/>
    <col collapsed="false" customWidth="true" hidden="false" outlineLevel="0" max="18" min="18" style="0" width="18"/>
    <col collapsed="false" customWidth="true" hidden="false" outlineLevel="0" max="19" min="19" style="0" width="28"/>
  </cols>
  <sheetData>
    <row r="1" customFormat="false" ht="31.5" hidden="false" customHeight="true" outlineLevel="0" collapsed="false">
      <c r="A1" s="7" t="s">
        <v>18</v>
      </c>
      <c r="B1" s="7" t="s">
        <v>60</v>
      </c>
      <c r="C1" s="7" t="s">
        <v>61</v>
      </c>
      <c r="D1" s="7" t="s">
        <v>62</v>
      </c>
      <c r="E1" s="7" t="s">
        <v>63</v>
      </c>
      <c r="F1" s="7" t="s">
        <v>64</v>
      </c>
      <c r="G1" s="7" t="s">
        <v>65</v>
      </c>
      <c r="H1" s="7" t="s">
        <v>66</v>
      </c>
      <c r="I1" s="7" t="s">
        <v>40</v>
      </c>
      <c r="J1" s="7" t="s">
        <v>67</v>
      </c>
      <c r="K1" s="7" t="s">
        <v>42</v>
      </c>
      <c r="L1" s="7" t="s">
        <v>68</v>
      </c>
      <c r="M1" s="7" t="s">
        <v>44</v>
      </c>
      <c r="N1" s="7" t="s">
        <v>30</v>
      </c>
      <c r="O1" s="7" t="s">
        <v>69</v>
      </c>
      <c r="P1" s="7" t="s">
        <v>70</v>
      </c>
      <c r="Q1" s="7" t="s">
        <v>32</v>
      </c>
      <c r="R1" s="7" t="s">
        <v>15</v>
      </c>
      <c r="S1" s="7" t="s">
        <v>71</v>
      </c>
    </row>
    <row r="2" customFormat="false" ht="57.45" hidden="false" customHeight="false" outlineLevel="0" collapsed="false">
      <c r="A2" s="8" t="s">
        <v>72</v>
      </c>
      <c r="B2" s="8" t="s">
        <v>73</v>
      </c>
      <c r="C2" s="8" t="s">
        <v>74</v>
      </c>
      <c r="D2" s="8" t="s">
        <v>75</v>
      </c>
      <c r="E2" s="9" t="n">
        <f aca="false">IF(C2="inhibition",-1,1)</f>
        <v>1</v>
      </c>
      <c r="F2" s="10" t="s">
        <v>76</v>
      </c>
      <c r="G2" s="10" t="s">
        <v>77</v>
      </c>
      <c r="H2" s="10" t="s">
        <v>78</v>
      </c>
      <c r="I2" s="8" t="s">
        <v>79</v>
      </c>
      <c r="J2" s="10" t="s">
        <v>80</v>
      </c>
      <c r="K2" s="8" t="s">
        <v>81</v>
      </c>
      <c r="L2" s="10" t="s">
        <v>82</v>
      </c>
      <c r="M2" s="8" t="s">
        <v>82</v>
      </c>
      <c r="N2" s="10" t="s">
        <v>83</v>
      </c>
      <c r="O2" s="11" t="s">
        <v>84</v>
      </c>
      <c r="P2" s="8" t="s">
        <v>85</v>
      </c>
      <c r="Q2" s="10" t="s">
        <v>86</v>
      </c>
      <c r="R2" s="10" t="s">
        <v>87</v>
      </c>
      <c r="S2" s="10"/>
    </row>
    <row r="3" customFormat="false" ht="46.25" hidden="false" customHeight="false" outlineLevel="0" collapsed="false">
      <c r="A3" s="8" t="s">
        <v>88</v>
      </c>
      <c r="B3" s="8" t="s">
        <v>89</v>
      </c>
      <c r="C3" s="8" t="s">
        <v>74</v>
      </c>
      <c r="D3" s="8" t="s">
        <v>75</v>
      </c>
      <c r="E3" s="9" t="n">
        <f aca="false">IF(C3="inhibition",-1,1)</f>
        <v>1</v>
      </c>
      <c r="F3" s="10" t="s">
        <v>76</v>
      </c>
      <c r="G3" s="10" t="s">
        <v>77</v>
      </c>
      <c r="H3" s="10" t="s">
        <v>90</v>
      </c>
      <c r="I3" s="8" t="s">
        <v>79</v>
      </c>
      <c r="J3" s="10" t="s">
        <v>91</v>
      </c>
      <c r="K3" s="8" t="s">
        <v>81</v>
      </c>
      <c r="L3" s="10" t="s">
        <v>92</v>
      </c>
      <c r="M3" s="8" t="s">
        <v>82</v>
      </c>
      <c r="N3" s="10" t="s">
        <v>93</v>
      </c>
      <c r="O3" s="11" t="s">
        <v>94</v>
      </c>
      <c r="P3" s="8" t="s">
        <v>95</v>
      </c>
      <c r="Q3" s="10"/>
      <c r="R3" s="10" t="s">
        <v>87</v>
      </c>
      <c r="S3" s="10"/>
    </row>
    <row r="4" customFormat="false" ht="46.25" hidden="false" customHeight="false" outlineLevel="0" collapsed="false">
      <c r="A4" s="8" t="s">
        <v>96</v>
      </c>
      <c r="B4" s="8" t="s">
        <v>97</v>
      </c>
      <c r="C4" s="8" t="s">
        <v>74</v>
      </c>
      <c r="D4" s="8" t="s">
        <v>75</v>
      </c>
      <c r="E4" s="9" t="n">
        <f aca="false">IF(C4="inhibition",-1,1)</f>
        <v>1</v>
      </c>
      <c r="F4" s="10" t="s">
        <v>76</v>
      </c>
      <c r="G4" s="10" t="s">
        <v>77</v>
      </c>
      <c r="H4" s="10" t="s">
        <v>90</v>
      </c>
      <c r="I4" s="8" t="s">
        <v>79</v>
      </c>
      <c r="J4" s="10" t="s">
        <v>98</v>
      </c>
      <c r="K4" s="8" t="s">
        <v>99</v>
      </c>
      <c r="L4" s="10" t="s">
        <v>100</v>
      </c>
      <c r="M4" s="8" t="s">
        <v>82</v>
      </c>
      <c r="N4" s="10" t="s">
        <v>101</v>
      </c>
      <c r="O4" s="11" t="s">
        <v>102</v>
      </c>
      <c r="P4" s="8" t="s">
        <v>103</v>
      </c>
      <c r="Q4" s="10"/>
      <c r="R4" s="10" t="s">
        <v>87</v>
      </c>
      <c r="S4" s="10"/>
    </row>
    <row r="5" customFormat="false" ht="46.25" hidden="false" customHeight="false" outlineLevel="0" collapsed="false">
      <c r="A5" s="8" t="s">
        <v>104</v>
      </c>
      <c r="B5" s="8" t="s">
        <v>105</v>
      </c>
      <c r="C5" s="8" t="s">
        <v>74</v>
      </c>
      <c r="D5" s="8" t="s">
        <v>106</v>
      </c>
      <c r="E5" s="9" t="n">
        <f aca="false">IF(C5="inhibition",-1,1)</f>
        <v>1</v>
      </c>
      <c r="F5" s="10" t="s">
        <v>76</v>
      </c>
      <c r="G5" s="10" t="s">
        <v>107</v>
      </c>
      <c r="H5" s="10" t="s">
        <v>90</v>
      </c>
      <c r="I5" s="8" t="s">
        <v>79</v>
      </c>
      <c r="J5" s="10" t="s">
        <v>108</v>
      </c>
      <c r="K5" s="8" t="s">
        <v>81</v>
      </c>
      <c r="L5" s="10" t="s">
        <v>92</v>
      </c>
      <c r="M5" s="8" t="s">
        <v>82</v>
      </c>
      <c r="N5" s="10" t="s">
        <v>109</v>
      </c>
      <c r="O5" s="11" t="s">
        <v>110</v>
      </c>
      <c r="P5" s="8" t="s">
        <v>111</v>
      </c>
      <c r="Q5" s="10"/>
      <c r="R5" s="10" t="s">
        <v>87</v>
      </c>
      <c r="S5" s="10"/>
    </row>
    <row r="6" customFormat="false" ht="46.25" hidden="false" customHeight="false" outlineLevel="0" collapsed="false">
      <c r="A6" s="8" t="s">
        <v>112</v>
      </c>
      <c r="B6" s="8" t="s">
        <v>113</v>
      </c>
      <c r="C6" s="8" t="s">
        <v>74</v>
      </c>
      <c r="D6" s="8" t="s">
        <v>106</v>
      </c>
      <c r="E6" s="9" t="n">
        <f aca="false">IF(C6="inhibition",-1,1)</f>
        <v>1</v>
      </c>
      <c r="F6" s="10" t="s">
        <v>114</v>
      </c>
      <c r="G6" s="10" t="s">
        <v>107</v>
      </c>
      <c r="H6" s="10" t="s">
        <v>90</v>
      </c>
      <c r="I6" s="8" t="s">
        <v>79</v>
      </c>
      <c r="J6" s="10" t="s">
        <v>108</v>
      </c>
      <c r="K6" s="8" t="s">
        <v>81</v>
      </c>
      <c r="L6" s="10" t="s">
        <v>115</v>
      </c>
      <c r="M6" s="8" t="s">
        <v>82</v>
      </c>
      <c r="N6" s="10" t="s">
        <v>116</v>
      </c>
      <c r="O6" s="11" t="s">
        <v>117</v>
      </c>
      <c r="P6" s="8" t="s">
        <v>118</v>
      </c>
      <c r="Q6" s="10"/>
      <c r="R6" s="10" t="s">
        <v>87</v>
      </c>
      <c r="S6" s="10"/>
    </row>
    <row r="7" customFormat="false" ht="46.25" hidden="false" customHeight="false" outlineLevel="0" collapsed="false">
      <c r="A7" s="8" t="s">
        <v>119</v>
      </c>
      <c r="B7" s="8" t="s">
        <v>120</v>
      </c>
      <c r="C7" s="8" t="s">
        <v>74</v>
      </c>
      <c r="D7" s="8" t="s">
        <v>106</v>
      </c>
      <c r="E7" s="9" t="n">
        <f aca="false">IF(C7="inhibition",-1,1)</f>
        <v>1</v>
      </c>
      <c r="F7" s="10" t="s">
        <v>76</v>
      </c>
      <c r="G7" s="10" t="s">
        <v>107</v>
      </c>
      <c r="H7" s="10" t="s">
        <v>90</v>
      </c>
      <c r="I7" s="8" t="s">
        <v>79</v>
      </c>
      <c r="J7" s="10" t="s">
        <v>81</v>
      </c>
      <c r="K7" s="8" t="s">
        <v>81</v>
      </c>
      <c r="L7" s="10" t="s">
        <v>92</v>
      </c>
      <c r="M7" s="8" t="s">
        <v>82</v>
      </c>
      <c r="N7" s="10" t="s">
        <v>121</v>
      </c>
      <c r="O7" s="11" t="s">
        <v>122</v>
      </c>
      <c r="P7" s="8" t="s">
        <v>123</v>
      </c>
      <c r="Q7" s="10"/>
      <c r="R7" s="10" t="s">
        <v>87</v>
      </c>
      <c r="S7" s="10"/>
    </row>
    <row r="8" customFormat="false" ht="35.05" hidden="false" customHeight="false" outlineLevel="0" collapsed="false">
      <c r="A8" s="8" t="s">
        <v>124</v>
      </c>
      <c r="B8" s="8" t="s">
        <v>125</v>
      </c>
      <c r="C8" s="8" t="s">
        <v>74</v>
      </c>
      <c r="D8" s="8" t="s">
        <v>106</v>
      </c>
      <c r="E8" s="9" t="n">
        <f aca="false">IF(C8="inhibition",-1,1)</f>
        <v>1</v>
      </c>
      <c r="F8" s="10" t="s">
        <v>114</v>
      </c>
      <c r="G8" s="10" t="s">
        <v>107</v>
      </c>
      <c r="H8" s="10" t="s">
        <v>126</v>
      </c>
      <c r="I8" s="8" t="s">
        <v>127</v>
      </c>
      <c r="J8" s="10" t="s">
        <v>128</v>
      </c>
      <c r="K8" s="8" t="s">
        <v>81</v>
      </c>
      <c r="L8" s="10" t="s">
        <v>82</v>
      </c>
      <c r="M8" s="8" t="s">
        <v>82</v>
      </c>
      <c r="N8" s="10" t="s">
        <v>129</v>
      </c>
      <c r="O8" s="11" t="s">
        <v>130</v>
      </c>
      <c r="P8" s="8" t="s">
        <v>131</v>
      </c>
      <c r="Q8" s="10" t="s">
        <v>132</v>
      </c>
      <c r="R8" s="10" t="s">
        <v>87</v>
      </c>
      <c r="S8" s="10"/>
    </row>
    <row r="9" customFormat="false" ht="46.25" hidden="false" customHeight="false" outlineLevel="0" collapsed="false">
      <c r="A9" s="8" t="s">
        <v>133</v>
      </c>
      <c r="B9" s="8" t="s">
        <v>89</v>
      </c>
      <c r="C9" s="8" t="s">
        <v>134</v>
      </c>
      <c r="D9" s="8" t="s">
        <v>106</v>
      </c>
      <c r="E9" s="9" t="n">
        <f aca="false">IF(C9="inhibition",-1,1)</f>
        <v>-1</v>
      </c>
      <c r="F9" s="10" t="s">
        <v>76</v>
      </c>
      <c r="G9" s="10" t="s">
        <v>107</v>
      </c>
      <c r="H9" s="10" t="s">
        <v>90</v>
      </c>
      <c r="I9" s="8" t="s">
        <v>79</v>
      </c>
      <c r="J9" s="10" t="s">
        <v>91</v>
      </c>
      <c r="K9" s="8" t="s">
        <v>81</v>
      </c>
      <c r="L9" s="10" t="s">
        <v>92</v>
      </c>
      <c r="M9" s="8" t="s">
        <v>82</v>
      </c>
      <c r="N9" s="10" t="s">
        <v>93</v>
      </c>
      <c r="O9" s="11" t="s">
        <v>94</v>
      </c>
      <c r="P9" s="8" t="s">
        <v>95</v>
      </c>
      <c r="Q9" s="10"/>
      <c r="R9" s="10" t="s">
        <v>87</v>
      </c>
      <c r="S9" s="10"/>
    </row>
    <row r="10" customFormat="false" ht="68.65" hidden="false" customHeight="false" outlineLevel="0" collapsed="false">
      <c r="A10" s="8" t="s">
        <v>135</v>
      </c>
      <c r="B10" s="8" t="s">
        <v>136</v>
      </c>
      <c r="C10" s="8" t="s">
        <v>74</v>
      </c>
      <c r="D10" s="8" t="s">
        <v>137</v>
      </c>
      <c r="E10" s="9" t="n">
        <f aca="false">IF(C10="inhibition",-1,1)</f>
        <v>1</v>
      </c>
      <c r="F10" s="10" t="s">
        <v>138</v>
      </c>
      <c r="G10" s="10" t="s">
        <v>138</v>
      </c>
      <c r="H10" s="10" t="s">
        <v>90</v>
      </c>
      <c r="I10" s="8" t="s">
        <v>79</v>
      </c>
      <c r="J10" s="10" t="s">
        <v>108</v>
      </c>
      <c r="K10" s="8" t="s">
        <v>81</v>
      </c>
      <c r="L10" s="10" t="s">
        <v>92</v>
      </c>
      <c r="M10" s="8" t="s">
        <v>82</v>
      </c>
      <c r="N10" s="10" t="s">
        <v>139</v>
      </c>
      <c r="O10" s="11" t="s">
        <v>140</v>
      </c>
      <c r="P10" s="8" t="s">
        <v>141</v>
      </c>
      <c r="Q10" s="10"/>
      <c r="R10" s="10" t="s">
        <v>87</v>
      </c>
      <c r="S10" s="10"/>
    </row>
    <row r="11" customFormat="false" ht="46.25" hidden="false" customHeight="false" outlineLevel="0" collapsed="false">
      <c r="A11" s="8" t="s">
        <v>142</v>
      </c>
      <c r="B11" s="8" t="s">
        <v>143</v>
      </c>
      <c r="C11" s="8" t="s">
        <v>74</v>
      </c>
      <c r="D11" s="8" t="s">
        <v>137</v>
      </c>
      <c r="E11" s="9" t="n">
        <f aca="false">IF(C11="inhibition",-1,1)</f>
        <v>1</v>
      </c>
      <c r="F11" s="10" t="s">
        <v>138</v>
      </c>
      <c r="G11" s="10" t="s">
        <v>138</v>
      </c>
      <c r="H11" s="10" t="s">
        <v>144</v>
      </c>
      <c r="I11" s="8" t="s">
        <v>145</v>
      </c>
      <c r="J11" s="10" t="s">
        <v>144</v>
      </c>
      <c r="K11" s="8" t="s">
        <v>146</v>
      </c>
      <c r="L11" s="10" t="s">
        <v>144</v>
      </c>
      <c r="M11" s="8" t="s">
        <v>144</v>
      </c>
      <c r="N11" s="10" t="s">
        <v>147</v>
      </c>
      <c r="O11" s="11" t="s">
        <v>148</v>
      </c>
      <c r="P11" s="8" t="s">
        <v>149</v>
      </c>
      <c r="Q11" s="10"/>
      <c r="R11" s="10" t="s">
        <v>87</v>
      </c>
      <c r="S11" s="10"/>
    </row>
    <row r="12" customFormat="false" ht="68.65" hidden="false" customHeight="false" outlineLevel="0" collapsed="false">
      <c r="A12" s="8" t="s">
        <v>150</v>
      </c>
      <c r="B12" s="8" t="s">
        <v>151</v>
      </c>
      <c r="C12" s="8" t="s">
        <v>134</v>
      </c>
      <c r="D12" s="8" t="s">
        <v>137</v>
      </c>
      <c r="E12" s="9" t="n">
        <f aca="false">IF(C12="inhibition",-1,1)</f>
        <v>-1</v>
      </c>
      <c r="F12" s="10" t="s">
        <v>138</v>
      </c>
      <c r="G12" s="10" t="s">
        <v>138</v>
      </c>
      <c r="H12" s="10" t="s">
        <v>144</v>
      </c>
      <c r="I12" s="8" t="s">
        <v>145</v>
      </c>
      <c r="J12" s="10" t="s">
        <v>144</v>
      </c>
      <c r="K12" s="8" t="s">
        <v>146</v>
      </c>
      <c r="L12" s="10" t="s">
        <v>144</v>
      </c>
      <c r="M12" s="8" t="s">
        <v>144</v>
      </c>
      <c r="N12" s="10" t="s">
        <v>152</v>
      </c>
      <c r="O12" s="11" t="s">
        <v>153</v>
      </c>
      <c r="P12" s="8" t="s">
        <v>154</v>
      </c>
      <c r="Q12" s="10" t="s">
        <v>155</v>
      </c>
      <c r="R12" s="10" t="s">
        <v>87</v>
      </c>
      <c r="S12" s="10"/>
    </row>
    <row r="13" customFormat="false" ht="68.65" hidden="false" customHeight="false" outlineLevel="0" collapsed="false">
      <c r="A13" s="8" t="s">
        <v>156</v>
      </c>
      <c r="B13" s="8" t="s">
        <v>136</v>
      </c>
      <c r="C13" s="8" t="s">
        <v>74</v>
      </c>
      <c r="D13" s="8" t="s">
        <v>157</v>
      </c>
      <c r="E13" s="9" t="n">
        <f aca="false">IF(C13="inhibition",-1,1)</f>
        <v>1</v>
      </c>
      <c r="F13" s="10" t="s">
        <v>138</v>
      </c>
      <c r="G13" s="10" t="s">
        <v>138</v>
      </c>
      <c r="H13" s="10" t="s">
        <v>90</v>
      </c>
      <c r="I13" s="8" t="s">
        <v>79</v>
      </c>
      <c r="J13" s="10" t="s">
        <v>108</v>
      </c>
      <c r="K13" s="8" t="s">
        <v>81</v>
      </c>
      <c r="L13" s="10" t="s">
        <v>92</v>
      </c>
      <c r="M13" s="8" t="s">
        <v>82</v>
      </c>
      <c r="N13" s="10" t="s">
        <v>139</v>
      </c>
      <c r="O13" s="11" t="s">
        <v>140</v>
      </c>
      <c r="P13" s="8" t="s">
        <v>141</v>
      </c>
      <c r="Q13" s="10"/>
      <c r="R13" s="10" t="s">
        <v>87</v>
      </c>
      <c r="S13" s="10"/>
    </row>
    <row r="14" customFormat="false" ht="46.25" hidden="false" customHeight="false" outlineLevel="0" collapsed="false">
      <c r="A14" s="8" t="s">
        <v>158</v>
      </c>
      <c r="B14" s="8" t="s">
        <v>159</v>
      </c>
      <c r="C14" s="8" t="s">
        <v>74</v>
      </c>
      <c r="D14" s="8" t="s">
        <v>157</v>
      </c>
      <c r="E14" s="9" t="n">
        <f aca="false">IF(C14="inhibition",-1,1)</f>
        <v>1</v>
      </c>
      <c r="F14" s="10" t="s">
        <v>138</v>
      </c>
      <c r="G14" s="10" t="s">
        <v>138</v>
      </c>
      <c r="H14" s="10" t="s">
        <v>144</v>
      </c>
      <c r="I14" s="8" t="s">
        <v>145</v>
      </c>
      <c r="J14" s="10" t="s">
        <v>144</v>
      </c>
      <c r="K14" s="8" t="s">
        <v>146</v>
      </c>
      <c r="L14" s="10" t="s">
        <v>144</v>
      </c>
      <c r="M14" s="8" t="s">
        <v>144</v>
      </c>
      <c r="N14" s="10" t="s">
        <v>147</v>
      </c>
      <c r="O14" s="11" t="s">
        <v>148</v>
      </c>
      <c r="P14" s="8" t="s">
        <v>149</v>
      </c>
      <c r="Q14" s="10"/>
      <c r="R14" s="10" t="s">
        <v>87</v>
      </c>
      <c r="S14" s="10"/>
    </row>
    <row r="15" customFormat="false" ht="68.65" hidden="false" customHeight="false" outlineLevel="0" collapsed="false">
      <c r="A15" s="8" t="s">
        <v>160</v>
      </c>
      <c r="B15" s="8" t="s">
        <v>161</v>
      </c>
      <c r="C15" s="8" t="s">
        <v>134</v>
      </c>
      <c r="D15" s="8" t="s">
        <v>157</v>
      </c>
      <c r="E15" s="9" t="n">
        <f aca="false">IF(C15="inhibition",-1,1)</f>
        <v>-1</v>
      </c>
      <c r="F15" s="10" t="s">
        <v>138</v>
      </c>
      <c r="G15" s="10" t="s">
        <v>138</v>
      </c>
      <c r="H15" s="10" t="s">
        <v>144</v>
      </c>
      <c r="I15" s="8" t="s">
        <v>145</v>
      </c>
      <c r="J15" s="10" t="s">
        <v>144</v>
      </c>
      <c r="K15" s="8" t="s">
        <v>146</v>
      </c>
      <c r="L15" s="10" t="s">
        <v>144</v>
      </c>
      <c r="M15" s="8" t="s">
        <v>144</v>
      </c>
      <c r="N15" s="10" t="s">
        <v>152</v>
      </c>
      <c r="O15" s="11" t="s">
        <v>153</v>
      </c>
      <c r="P15" s="8" t="s">
        <v>154</v>
      </c>
      <c r="Q15" s="10" t="s">
        <v>162</v>
      </c>
      <c r="R15" s="10" t="s">
        <v>87</v>
      </c>
      <c r="S15" s="10"/>
    </row>
    <row r="16" customFormat="false" ht="35.05" hidden="false" customHeight="false" outlineLevel="0" collapsed="false">
      <c r="A16" s="8" t="s">
        <v>163</v>
      </c>
      <c r="B16" s="8" t="s">
        <v>164</v>
      </c>
      <c r="C16" s="8" t="s">
        <v>74</v>
      </c>
      <c r="D16" s="8" t="s">
        <v>165</v>
      </c>
      <c r="E16" s="9" t="n">
        <f aca="false">IF(C16="inhibition",-1,1)</f>
        <v>1</v>
      </c>
      <c r="F16" s="10" t="s">
        <v>166</v>
      </c>
      <c r="G16" s="10" t="s">
        <v>138</v>
      </c>
      <c r="H16" s="10" t="s">
        <v>144</v>
      </c>
      <c r="I16" s="8" t="s">
        <v>145</v>
      </c>
      <c r="J16" s="10" t="s">
        <v>144</v>
      </c>
      <c r="K16" s="8" t="s">
        <v>146</v>
      </c>
      <c r="L16" s="10" t="s">
        <v>144</v>
      </c>
      <c r="M16" s="8" t="s">
        <v>144</v>
      </c>
      <c r="N16" s="10" t="s">
        <v>167</v>
      </c>
      <c r="O16" s="11" t="s">
        <v>168</v>
      </c>
      <c r="P16" s="8" t="s">
        <v>169</v>
      </c>
      <c r="Q16" s="10" t="s">
        <v>170</v>
      </c>
      <c r="R16" s="10" t="s">
        <v>87</v>
      </c>
      <c r="S16" s="10"/>
    </row>
    <row r="17" customFormat="false" ht="46.25" hidden="false" customHeight="false" outlineLevel="0" collapsed="false">
      <c r="A17" s="8" t="s">
        <v>171</v>
      </c>
      <c r="B17" s="8" t="s">
        <v>172</v>
      </c>
      <c r="C17" s="8" t="s">
        <v>74</v>
      </c>
      <c r="D17" s="8" t="s">
        <v>165</v>
      </c>
      <c r="E17" s="9" t="n">
        <f aca="false">IF(C17="inhibition",-1,1)</f>
        <v>1</v>
      </c>
      <c r="F17" s="10" t="s">
        <v>138</v>
      </c>
      <c r="G17" s="10" t="s">
        <v>138</v>
      </c>
      <c r="H17" s="10" t="s">
        <v>173</v>
      </c>
      <c r="I17" s="8" t="s">
        <v>127</v>
      </c>
      <c r="J17" s="10" t="s">
        <v>174</v>
      </c>
      <c r="K17" s="8" t="s">
        <v>99</v>
      </c>
      <c r="L17" s="10" t="s">
        <v>92</v>
      </c>
      <c r="M17" s="8" t="s">
        <v>82</v>
      </c>
      <c r="N17" s="10" t="s">
        <v>175</v>
      </c>
      <c r="O17" s="11" t="s">
        <v>176</v>
      </c>
      <c r="P17" s="8" t="s">
        <v>177</v>
      </c>
      <c r="Q17" s="10"/>
      <c r="R17" s="10" t="s">
        <v>87</v>
      </c>
      <c r="S17" s="10"/>
    </row>
    <row r="18" customFormat="false" ht="46.25" hidden="false" customHeight="false" outlineLevel="0" collapsed="false">
      <c r="A18" s="8" t="s">
        <v>178</v>
      </c>
      <c r="B18" s="8" t="s">
        <v>179</v>
      </c>
      <c r="C18" s="8" t="s">
        <v>74</v>
      </c>
      <c r="D18" s="8" t="s">
        <v>165</v>
      </c>
      <c r="E18" s="9" t="n">
        <f aca="false">IF(C18="inhibition",-1,1)</f>
        <v>1</v>
      </c>
      <c r="F18" s="10" t="s">
        <v>180</v>
      </c>
      <c r="G18" s="10" t="s">
        <v>138</v>
      </c>
      <c r="H18" s="10" t="s">
        <v>181</v>
      </c>
      <c r="I18" s="8" t="s">
        <v>145</v>
      </c>
      <c r="J18" s="10" t="s">
        <v>182</v>
      </c>
      <c r="K18" s="8" t="s">
        <v>99</v>
      </c>
      <c r="L18" s="10" t="s">
        <v>82</v>
      </c>
      <c r="M18" s="8" t="s">
        <v>82</v>
      </c>
      <c r="N18" s="10" t="s">
        <v>183</v>
      </c>
      <c r="O18" s="11" t="s">
        <v>184</v>
      </c>
      <c r="P18" s="8" t="s">
        <v>185</v>
      </c>
      <c r="Q18" s="10" t="s">
        <v>186</v>
      </c>
      <c r="R18" s="10" t="s">
        <v>87</v>
      </c>
      <c r="S18" s="10"/>
    </row>
    <row r="19" customFormat="false" ht="57.45" hidden="false" customHeight="false" outlineLevel="0" collapsed="false">
      <c r="A19" s="8" t="s">
        <v>187</v>
      </c>
      <c r="B19" s="8" t="s">
        <v>188</v>
      </c>
      <c r="C19" s="8" t="s">
        <v>134</v>
      </c>
      <c r="D19" s="8" t="s">
        <v>165</v>
      </c>
      <c r="E19" s="9" t="n">
        <f aca="false">IF(C19="inhibition",-1,1)</f>
        <v>-1</v>
      </c>
      <c r="F19" s="10" t="s">
        <v>138</v>
      </c>
      <c r="G19" s="10" t="s">
        <v>138</v>
      </c>
      <c r="H19" s="10" t="s">
        <v>144</v>
      </c>
      <c r="I19" s="8" t="s">
        <v>145</v>
      </c>
      <c r="J19" s="10" t="s">
        <v>144</v>
      </c>
      <c r="K19" s="8" t="s">
        <v>146</v>
      </c>
      <c r="L19" s="10" t="s">
        <v>144</v>
      </c>
      <c r="M19" s="8" t="s">
        <v>144</v>
      </c>
      <c r="N19" s="10" t="s">
        <v>189</v>
      </c>
      <c r="O19" s="11" t="s">
        <v>190</v>
      </c>
      <c r="P19" s="8" t="s">
        <v>191</v>
      </c>
      <c r="Q19" s="10"/>
      <c r="R19" s="10" t="s">
        <v>87</v>
      </c>
      <c r="S19" s="10"/>
    </row>
    <row r="20" customFormat="false" ht="23.85" hidden="false" customHeight="false" outlineLevel="0" collapsed="false">
      <c r="A20" s="8" t="s">
        <v>192</v>
      </c>
      <c r="B20" s="8" t="s">
        <v>193</v>
      </c>
      <c r="C20" s="8" t="s">
        <v>74</v>
      </c>
      <c r="D20" s="8" t="s">
        <v>194</v>
      </c>
      <c r="E20" s="9" t="n">
        <f aca="false">IF(C20="inhibition",-1,1)</f>
        <v>1</v>
      </c>
      <c r="F20" s="10" t="s">
        <v>76</v>
      </c>
      <c r="G20" s="10" t="s">
        <v>195</v>
      </c>
      <c r="H20" s="10" t="s">
        <v>196</v>
      </c>
      <c r="I20" s="8" t="s">
        <v>145</v>
      </c>
      <c r="J20" s="10" t="s">
        <v>144</v>
      </c>
      <c r="K20" s="8" t="s">
        <v>146</v>
      </c>
      <c r="L20" s="10" t="s">
        <v>144</v>
      </c>
      <c r="M20" s="8" t="s">
        <v>144</v>
      </c>
      <c r="N20" s="10" t="s">
        <v>197</v>
      </c>
      <c r="O20" s="8"/>
      <c r="P20" s="8"/>
      <c r="Q20" s="10"/>
      <c r="R20" s="10" t="s">
        <v>198</v>
      </c>
      <c r="S20" s="10"/>
    </row>
    <row r="21" customFormat="false" ht="46.25" hidden="false" customHeight="false" outlineLevel="0" collapsed="false">
      <c r="A21" s="8" t="s">
        <v>199</v>
      </c>
      <c r="B21" s="8" t="s">
        <v>200</v>
      </c>
      <c r="C21" s="8" t="s">
        <v>74</v>
      </c>
      <c r="D21" s="8" t="s">
        <v>201</v>
      </c>
      <c r="E21" s="9" t="n">
        <f aca="false">IF(C21="inhibition",-1,1)</f>
        <v>1</v>
      </c>
      <c r="F21" s="10" t="s">
        <v>114</v>
      </c>
      <c r="G21" s="10" t="s">
        <v>76</v>
      </c>
      <c r="H21" s="10" t="s">
        <v>173</v>
      </c>
      <c r="I21" s="8" t="s">
        <v>127</v>
      </c>
      <c r="J21" s="10" t="s">
        <v>98</v>
      </c>
      <c r="K21" s="8" t="s">
        <v>99</v>
      </c>
      <c r="L21" s="10" t="s">
        <v>144</v>
      </c>
      <c r="M21" s="8" t="s">
        <v>144</v>
      </c>
      <c r="N21" s="10" t="s">
        <v>202</v>
      </c>
      <c r="O21" s="11" t="s">
        <v>203</v>
      </c>
      <c r="P21" s="8" t="s">
        <v>204</v>
      </c>
      <c r="Q21" s="10"/>
      <c r="R21" s="10" t="s">
        <v>87</v>
      </c>
      <c r="S21" s="10"/>
    </row>
    <row r="22" customFormat="false" ht="46.25" hidden="false" customHeight="false" outlineLevel="0" collapsed="false">
      <c r="A22" s="8" t="s">
        <v>205</v>
      </c>
      <c r="B22" s="8" t="s">
        <v>113</v>
      </c>
      <c r="C22" s="8" t="s">
        <v>74</v>
      </c>
      <c r="D22" s="8" t="s">
        <v>201</v>
      </c>
      <c r="E22" s="9" t="n">
        <f aca="false">IF(C22="inhibition",-1,1)</f>
        <v>1</v>
      </c>
      <c r="F22" s="10" t="s">
        <v>114</v>
      </c>
      <c r="G22" s="10" t="s">
        <v>76</v>
      </c>
      <c r="H22" s="10" t="s">
        <v>90</v>
      </c>
      <c r="I22" s="8" t="s">
        <v>79</v>
      </c>
      <c r="J22" s="10" t="s">
        <v>108</v>
      </c>
      <c r="K22" s="8" t="s">
        <v>81</v>
      </c>
      <c r="L22" s="10" t="s">
        <v>115</v>
      </c>
      <c r="M22" s="8" t="s">
        <v>82</v>
      </c>
      <c r="N22" s="10" t="s">
        <v>116</v>
      </c>
      <c r="O22" s="11" t="s">
        <v>117</v>
      </c>
      <c r="P22" s="8" t="s">
        <v>118</v>
      </c>
      <c r="Q22" s="10"/>
      <c r="R22" s="10" t="s">
        <v>87</v>
      </c>
      <c r="S22" s="10"/>
    </row>
    <row r="23" customFormat="false" ht="46.25" hidden="false" customHeight="false" outlineLevel="0" collapsed="false">
      <c r="A23" s="8" t="s">
        <v>206</v>
      </c>
      <c r="B23" s="8" t="s">
        <v>125</v>
      </c>
      <c r="C23" s="8" t="s">
        <v>74</v>
      </c>
      <c r="D23" s="8" t="s">
        <v>201</v>
      </c>
      <c r="E23" s="9" t="n">
        <f aca="false">IF(C23="inhibition",-1,1)</f>
        <v>1</v>
      </c>
      <c r="F23" s="10" t="s">
        <v>114</v>
      </c>
      <c r="G23" s="10" t="s">
        <v>76</v>
      </c>
      <c r="H23" s="10" t="s">
        <v>90</v>
      </c>
      <c r="I23" s="8" t="s">
        <v>79</v>
      </c>
      <c r="J23" s="10" t="s">
        <v>108</v>
      </c>
      <c r="K23" s="8" t="s">
        <v>81</v>
      </c>
      <c r="L23" s="10" t="s">
        <v>115</v>
      </c>
      <c r="M23" s="8" t="s">
        <v>82</v>
      </c>
      <c r="N23" s="10" t="s">
        <v>116</v>
      </c>
      <c r="O23" s="11" t="s">
        <v>117</v>
      </c>
      <c r="P23" s="8" t="s">
        <v>118</v>
      </c>
      <c r="Q23" s="10"/>
      <c r="R23" s="10" t="s">
        <v>87</v>
      </c>
      <c r="S23" s="10"/>
    </row>
    <row r="24" customFormat="false" ht="57.45" hidden="false" customHeight="false" outlineLevel="0" collapsed="false">
      <c r="A24" s="8" t="s">
        <v>207</v>
      </c>
      <c r="B24" s="8" t="s">
        <v>89</v>
      </c>
      <c r="C24" s="8" t="s">
        <v>134</v>
      </c>
      <c r="D24" s="8" t="s">
        <v>201</v>
      </c>
      <c r="E24" s="9" t="n">
        <f aca="false">IF(C24="inhibition",-1,1)</f>
        <v>-1</v>
      </c>
      <c r="F24" s="10" t="s">
        <v>76</v>
      </c>
      <c r="G24" s="10" t="s">
        <v>76</v>
      </c>
      <c r="H24" s="10" t="s">
        <v>208</v>
      </c>
      <c r="I24" s="8" t="s">
        <v>127</v>
      </c>
      <c r="J24" s="10" t="s">
        <v>81</v>
      </c>
      <c r="K24" s="8" t="s">
        <v>81</v>
      </c>
      <c r="L24" s="10" t="s">
        <v>92</v>
      </c>
      <c r="M24" s="8" t="s">
        <v>82</v>
      </c>
      <c r="N24" s="10" t="s">
        <v>209</v>
      </c>
      <c r="O24" s="11" t="s">
        <v>210</v>
      </c>
      <c r="P24" s="8" t="s">
        <v>211</v>
      </c>
      <c r="Q24" s="10"/>
      <c r="R24" s="10" t="s">
        <v>87</v>
      </c>
      <c r="S24" s="10"/>
    </row>
    <row r="25" customFormat="false" ht="91" hidden="false" customHeight="false" outlineLevel="0" collapsed="false">
      <c r="A25" s="8" t="s">
        <v>212</v>
      </c>
      <c r="B25" s="8" t="s">
        <v>97</v>
      </c>
      <c r="C25" s="8" t="s">
        <v>134</v>
      </c>
      <c r="D25" s="8" t="s">
        <v>201</v>
      </c>
      <c r="E25" s="9" t="n">
        <f aca="false">IF(C25="inhibition",-1,1)</f>
        <v>-1</v>
      </c>
      <c r="F25" s="10" t="s">
        <v>76</v>
      </c>
      <c r="G25" s="10" t="s">
        <v>76</v>
      </c>
      <c r="H25" s="10" t="s">
        <v>213</v>
      </c>
      <c r="I25" s="8" t="s">
        <v>127</v>
      </c>
      <c r="J25" s="10" t="s">
        <v>214</v>
      </c>
      <c r="K25" s="8" t="s">
        <v>99</v>
      </c>
      <c r="L25" s="10" t="s">
        <v>215</v>
      </c>
      <c r="M25" s="8" t="s">
        <v>216</v>
      </c>
      <c r="N25" s="10" t="s">
        <v>217</v>
      </c>
      <c r="O25" s="11" t="s">
        <v>218</v>
      </c>
      <c r="P25" s="8" t="s">
        <v>219</v>
      </c>
      <c r="Q25" s="10" t="s">
        <v>220</v>
      </c>
      <c r="R25" s="10" t="s">
        <v>87</v>
      </c>
      <c r="S25" s="10"/>
    </row>
    <row r="26" customFormat="false" ht="57.45" hidden="false" customHeight="false" outlineLevel="0" collapsed="false">
      <c r="A26" s="8" t="s">
        <v>221</v>
      </c>
      <c r="B26" s="8" t="s">
        <v>73</v>
      </c>
      <c r="C26" s="8" t="s">
        <v>74</v>
      </c>
      <c r="D26" s="8" t="s">
        <v>222</v>
      </c>
      <c r="E26" s="9" t="n">
        <f aca="false">IF(C26="inhibition",-1,1)</f>
        <v>1</v>
      </c>
      <c r="F26" s="10" t="s">
        <v>76</v>
      </c>
      <c r="G26" s="10" t="s">
        <v>166</v>
      </c>
      <c r="H26" s="10" t="s">
        <v>90</v>
      </c>
      <c r="I26" s="8" t="s">
        <v>79</v>
      </c>
      <c r="J26" s="10" t="s">
        <v>91</v>
      </c>
      <c r="K26" s="8" t="s">
        <v>81</v>
      </c>
      <c r="L26" s="10" t="s">
        <v>92</v>
      </c>
      <c r="M26" s="8" t="s">
        <v>82</v>
      </c>
      <c r="N26" s="10" t="s">
        <v>223</v>
      </c>
      <c r="O26" s="11" t="s">
        <v>224</v>
      </c>
      <c r="P26" s="8" t="s">
        <v>225</v>
      </c>
      <c r="Q26" s="10"/>
      <c r="R26" s="10" t="s">
        <v>87</v>
      </c>
      <c r="S26" s="10"/>
    </row>
    <row r="27" customFormat="false" ht="35.05" hidden="false" customHeight="false" outlineLevel="0" collapsed="false">
      <c r="A27" s="8" t="s">
        <v>226</v>
      </c>
      <c r="B27" s="8" t="s">
        <v>227</v>
      </c>
      <c r="C27" s="8" t="s">
        <v>74</v>
      </c>
      <c r="D27" s="8" t="s">
        <v>222</v>
      </c>
      <c r="E27" s="9" t="n">
        <f aca="false">IF(C27="inhibition",-1,1)</f>
        <v>1</v>
      </c>
      <c r="F27" s="10" t="s">
        <v>76</v>
      </c>
      <c r="G27" s="10" t="s">
        <v>166</v>
      </c>
      <c r="H27" s="10" t="s">
        <v>90</v>
      </c>
      <c r="I27" s="8" t="s">
        <v>79</v>
      </c>
      <c r="J27" s="10" t="s">
        <v>108</v>
      </c>
      <c r="K27" s="8" t="s">
        <v>81</v>
      </c>
      <c r="L27" s="10" t="s">
        <v>100</v>
      </c>
      <c r="M27" s="8" t="s">
        <v>82</v>
      </c>
      <c r="N27" s="10" t="s">
        <v>228</v>
      </c>
      <c r="O27" s="11" t="s">
        <v>229</v>
      </c>
      <c r="P27" s="8"/>
      <c r="Q27" s="10"/>
      <c r="R27" s="10" t="s">
        <v>87</v>
      </c>
      <c r="S27" s="10"/>
    </row>
    <row r="28" customFormat="false" ht="57.45" hidden="false" customHeight="false" outlineLevel="0" collapsed="false">
      <c r="A28" s="8" t="s">
        <v>230</v>
      </c>
      <c r="B28" s="8" t="s">
        <v>179</v>
      </c>
      <c r="C28" s="8" t="s">
        <v>134</v>
      </c>
      <c r="D28" s="8" t="s">
        <v>222</v>
      </c>
      <c r="E28" s="9" t="n">
        <f aca="false">IF(C28="inhibition",-1,1)</f>
        <v>-1</v>
      </c>
      <c r="F28" s="10" t="s">
        <v>180</v>
      </c>
      <c r="G28" s="10" t="s">
        <v>166</v>
      </c>
      <c r="H28" s="10" t="s">
        <v>196</v>
      </c>
      <c r="I28" s="8" t="s">
        <v>145</v>
      </c>
      <c r="J28" s="10" t="s">
        <v>144</v>
      </c>
      <c r="K28" s="8" t="s">
        <v>146</v>
      </c>
      <c r="L28" s="10" t="s">
        <v>144</v>
      </c>
      <c r="M28" s="8" t="s">
        <v>144</v>
      </c>
      <c r="N28" s="10" t="s">
        <v>231</v>
      </c>
      <c r="O28" s="11" t="s">
        <v>232</v>
      </c>
      <c r="P28" s="8" t="s">
        <v>233</v>
      </c>
      <c r="Q28" s="10"/>
      <c r="R28" s="10" t="s">
        <v>87</v>
      </c>
      <c r="S28" s="10"/>
    </row>
    <row r="29" customFormat="false" ht="57.45" hidden="false" customHeight="false" outlineLevel="0" collapsed="false">
      <c r="A29" s="8" t="s">
        <v>234</v>
      </c>
      <c r="B29" s="8" t="s">
        <v>73</v>
      </c>
      <c r="C29" s="8" t="s">
        <v>74</v>
      </c>
      <c r="D29" s="8" t="s">
        <v>235</v>
      </c>
      <c r="E29" s="9" t="n">
        <f aca="false">IF(C29="inhibition",-1,1)</f>
        <v>1</v>
      </c>
      <c r="F29" s="10" t="s">
        <v>76</v>
      </c>
      <c r="G29" s="10" t="s">
        <v>166</v>
      </c>
      <c r="H29" s="10" t="s">
        <v>90</v>
      </c>
      <c r="I29" s="8" t="s">
        <v>79</v>
      </c>
      <c r="J29" s="10" t="s">
        <v>91</v>
      </c>
      <c r="K29" s="8" t="s">
        <v>81</v>
      </c>
      <c r="L29" s="10" t="s">
        <v>92</v>
      </c>
      <c r="M29" s="8" t="s">
        <v>82</v>
      </c>
      <c r="N29" s="10" t="s">
        <v>223</v>
      </c>
      <c r="O29" s="11" t="s">
        <v>224</v>
      </c>
      <c r="P29" s="8" t="s">
        <v>225</v>
      </c>
      <c r="Q29" s="10"/>
      <c r="R29" s="10" t="s">
        <v>87</v>
      </c>
      <c r="S29" s="10"/>
    </row>
    <row r="30" customFormat="false" ht="35.05" hidden="false" customHeight="false" outlineLevel="0" collapsed="false">
      <c r="A30" s="8" t="s">
        <v>236</v>
      </c>
      <c r="B30" s="8" t="s">
        <v>227</v>
      </c>
      <c r="C30" s="8" t="s">
        <v>74</v>
      </c>
      <c r="D30" s="8" t="s">
        <v>235</v>
      </c>
      <c r="E30" s="9" t="n">
        <f aca="false">IF(C30="inhibition",-1,1)</f>
        <v>1</v>
      </c>
      <c r="F30" s="10" t="s">
        <v>76</v>
      </c>
      <c r="G30" s="10" t="s">
        <v>166</v>
      </c>
      <c r="H30" s="10" t="s">
        <v>90</v>
      </c>
      <c r="I30" s="8" t="s">
        <v>79</v>
      </c>
      <c r="J30" s="10" t="s">
        <v>108</v>
      </c>
      <c r="K30" s="8" t="s">
        <v>81</v>
      </c>
      <c r="L30" s="10" t="s">
        <v>100</v>
      </c>
      <c r="M30" s="8" t="s">
        <v>82</v>
      </c>
      <c r="N30" s="10" t="s">
        <v>228</v>
      </c>
      <c r="O30" s="11" t="s">
        <v>229</v>
      </c>
      <c r="P30" s="8"/>
      <c r="Q30" s="10"/>
      <c r="R30" s="10" t="s">
        <v>87</v>
      </c>
      <c r="S30" s="10"/>
    </row>
    <row r="31" customFormat="false" ht="46.25" hidden="false" customHeight="false" outlineLevel="0" collapsed="false">
      <c r="A31" s="8" t="s">
        <v>237</v>
      </c>
      <c r="B31" s="8" t="s">
        <v>179</v>
      </c>
      <c r="C31" s="8" t="s">
        <v>134</v>
      </c>
      <c r="D31" s="8" t="s">
        <v>235</v>
      </c>
      <c r="E31" s="9" t="n">
        <f aca="false">IF(C31="inhibition",-1,1)</f>
        <v>-1</v>
      </c>
      <c r="F31" s="10" t="s">
        <v>180</v>
      </c>
      <c r="G31" s="10" t="s">
        <v>166</v>
      </c>
      <c r="H31" s="10" t="s">
        <v>196</v>
      </c>
      <c r="I31" s="8" t="s">
        <v>145</v>
      </c>
      <c r="J31" s="10" t="s">
        <v>144</v>
      </c>
      <c r="K31" s="8" t="s">
        <v>146</v>
      </c>
      <c r="L31" s="10" t="s">
        <v>144</v>
      </c>
      <c r="M31" s="8" t="s">
        <v>144</v>
      </c>
      <c r="N31" s="10" t="s">
        <v>238</v>
      </c>
      <c r="O31" s="11" t="s">
        <v>239</v>
      </c>
      <c r="P31" s="8" t="s">
        <v>240</v>
      </c>
      <c r="Q31" s="10"/>
      <c r="R31" s="10" t="s">
        <v>87</v>
      </c>
      <c r="S31" s="10"/>
    </row>
    <row r="32" customFormat="false" ht="46.25" hidden="false" customHeight="false" outlineLevel="0" collapsed="false">
      <c r="A32" s="8" t="s">
        <v>241</v>
      </c>
      <c r="B32" s="8" t="s">
        <v>113</v>
      </c>
      <c r="C32" s="8" t="s">
        <v>74</v>
      </c>
      <c r="D32" s="8" t="s">
        <v>242</v>
      </c>
      <c r="E32" s="9" t="n">
        <f aca="false">IF(C32="inhibition",-1,1)</f>
        <v>1</v>
      </c>
      <c r="F32" s="10" t="s">
        <v>114</v>
      </c>
      <c r="G32" s="10" t="s">
        <v>195</v>
      </c>
      <c r="H32" s="10" t="s">
        <v>90</v>
      </c>
      <c r="I32" s="8" t="s">
        <v>79</v>
      </c>
      <c r="J32" s="10" t="s">
        <v>108</v>
      </c>
      <c r="K32" s="8" t="s">
        <v>81</v>
      </c>
      <c r="L32" s="10" t="s">
        <v>115</v>
      </c>
      <c r="M32" s="8" t="s">
        <v>82</v>
      </c>
      <c r="N32" s="10" t="s">
        <v>243</v>
      </c>
      <c r="O32" s="11" t="s">
        <v>244</v>
      </c>
      <c r="P32" s="8" t="s">
        <v>245</v>
      </c>
      <c r="Q32" s="10"/>
      <c r="R32" s="10" t="s">
        <v>87</v>
      </c>
      <c r="S32" s="10"/>
    </row>
    <row r="33" customFormat="false" ht="46.25" hidden="false" customHeight="false" outlineLevel="0" collapsed="false">
      <c r="A33" s="8" t="s">
        <v>246</v>
      </c>
      <c r="B33" s="8" t="s">
        <v>157</v>
      </c>
      <c r="C33" s="8" t="s">
        <v>134</v>
      </c>
      <c r="D33" s="8" t="s">
        <v>242</v>
      </c>
      <c r="E33" s="9" t="n">
        <f aca="false">IF(C33="inhibition",-1,1)</f>
        <v>-1</v>
      </c>
      <c r="F33" s="10" t="s">
        <v>138</v>
      </c>
      <c r="G33" s="10" t="s">
        <v>195</v>
      </c>
      <c r="H33" s="10" t="s">
        <v>247</v>
      </c>
      <c r="I33" s="8" t="s">
        <v>127</v>
      </c>
      <c r="J33" s="10" t="s">
        <v>248</v>
      </c>
      <c r="K33" s="8" t="s">
        <v>99</v>
      </c>
      <c r="L33" s="10" t="s">
        <v>249</v>
      </c>
      <c r="M33" s="8" t="s">
        <v>249</v>
      </c>
      <c r="N33" s="10" t="s">
        <v>250</v>
      </c>
      <c r="O33" s="11" t="s">
        <v>251</v>
      </c>
      <c r="P33" s="8" t="s">
        <v>252</v>
      </c>
      <c r="Q33" s="10"/>
      <c r="R33" s="10" t="s">
        <v>87</v>
      </c>
      <c r="S33" s="10"/>
    </row>
    <row r="34" customFormat="false" ht="46.25" hidden="false" customHeight="false" outlineLevel="0" collapsed="false">
      <c r="A34" s="8" t="s">
        <v>253</v>
      </c>
      <c r="B34" s="8" t="s">
        <v>179</v>
      </c>
      <c r="C34" s="8" t="s">
        <v>74</v>
      </c>
      <c r="D34" s="8" t="s">
        <v>254</v>
      </c>
      <c r="E34" s="9" t="n">
        <f aca="false">IF(C34="inhibition",-1,1)</f>
        <v>1</v>
      </c>
      <c r="F34" s="10" t="s">
        <v>180</v>
      </c>
      <c r="G34" s="10" t="s">
        <v>255</v>
      </c>
      <c r="H34" s="10" t="s">
        <v>208</v>
      </c>
      <c r="I34" s="8" t="s">
        <v>127</v>
      </c>
      <c r="J34" s="10" t="s">
        <v>98</v>
      </c>
      <c r="K34" s="8" t="s">
        <v>99</v>
      </c>
      <c r="L34" s="10" t="s">
        <v>92</v>
      </c>
      <c r="M34" s="8" t="s">
        <v>82</v>
      </c>
      <c r="N34" s="10" t="s">
        <v>256</v>
      </c>
      <c r="O34" s="11" t="s">
        <v>257</v>
      </c>
      <c r="P34" s="8" t="s">
        <v>258</v>
      </c>
      <c r="Q34" s="10"/>
      <c r="R34" s="10" t="s">
        <v>87</v>
      </c>
      <c r="S34" s="10"/>
    </row>
    <row r="35" customFormat="false" ht="46.25" hidden="false" customHeight="false" outlineLevel="0" collapsed="false">
      <c r="A35" s="8" t="s">
        <v>259</v>
      </c>
      <c r="B35" s="8" t="s">
        <v>260</v>
      </c>
      <c r="C35" s="8" t="s">
        <v>134</v>
      </c>
      <c r="D35" s="8" t="s">
        <v>254</v>
      </c>
      <c r="E35" s="9" t="n">
        <f aca="false">IF(C35="inhibition",-1,1)</f>
        <v>-1</v>
      </c>
      <c r="F35" s="10" t="s">
        <v>255</v>
      </c>
      <c r="G35" s="10" t="s">
        <v>255</v>
      </c>
      <c r="H35" s="10" t="s">
        <v>196</v>
      </c>
      <c r="I35" s="8" t="s">
        <v>145</v>
      </c>
      <c r="J35" s="10" t="s">
        <v>144</v>
      </c>
      <c r="K35" s="8" t="s">
        <v>146</v>
      </c>
      <c r="L35" s="10" t="s">
        <v>144</v>
      </c>
      <c r="M35" s="8" t="s">
        <v>144</v>
      </c>
      <c r="N35" s="10" t="s">
        <v>261</v>
      </c>
      <c r="O35" s="11" t="s">
        <v>262</v>
      </c>
      <c r="P35" s="8" t="s">
        <v>263</v>
      </c>
      <c r="Q35" s="10"/>
      <c r="R35" s="10" t="s">
        <v>87</v>
      </c>
      <c r="S35" s="10"/>
    </row>
    <row r="36" customFormat="false" ht="46.25" hidden="false" customHeight="false" outlineLevel="0" collapsed="false">
      <c r="A36" s="8" t="s">
        <v>264</v>
      </c>
      <c r="B36" s="8" t="s">
        <v>137</v>
      </c>
      <c r="C36" s="8" t="s">
        <v>74</v>
      </c>
      <c r="D36" s="8" t="s">
        <v>260</v>
      </c>
      <c r="E36" s="9" t="n">
        <f aca="false">IF(C36="inhibition",-1,1)</f>
        <v>1</v>
      </c>
      <c r="F36" s="10" t="s">
        <v>138</v>
      </c>
      <c r="G36" s="10" t="s">
        <v>255</v>
      </c>
      <c r="H36" s="10" t="s">
        <v>247</v>
      </c>
      <c r="I36" s="8" t="s">
        <v>127</v>
      </c>
      <c r="J36" s="10" t="s">
        <v>248</v>
      </c>
      <c r="K36" s="8" t="s">
        <v>99</v>
      </c>
      <c r="L36" s="10" t="s">
        <v>249</v>
      </c>
      <c r="M36" s="8" t="s">
        <v>249</v>
      </c>
      <c r="N36" s="10" t="s">
        <v>250</v>
      </c>
      <c r="O36" s="11" t="s">
        <v>251</v>
      </c>
      <c r="P36" s="8" t="s">
        <v>252</v>
      </c>
      <c r="Q36" s="10"/>
      <c r="R36" s="10" t="s">
        <v>87</v>
      </c>
      <c r="S36" s="10"/>
    </row>
    <row r="37" customFormat="false" ht="46.25" hidden="false" customHeight="false" outlineLevel="0" collapsed="false">
      <c r="A37" s="8" t="s">
        <v>265</v>
      </c>
      <c r="B37" s="8" t="s">
        <v>157</v>
      </c>
      <c r="C37" s="8" t="s">
        <v>74</v>
      </c>
      <c r="D37" s="8" t="s">
        <v>260</v>
      </c>
      <c r="E37" s="9" t="n">
        <f aca="false">IF(C37="inhibition",-1,1)</f>
        <v>1</v>
      </c>
      <c r="F37" s="10" t="s">
        <v>138</v>
      </c>
      <c r="G37" s="10" t="s">
        <v>255</v>
      </c>
      <c r="H37" s="10" t="s">
        <v>247</v>
      </c>
      <c r="I37" s="8" t="s">
        <v>127</v>
      </c>
      <c r="J37" s="10" t="s">
        <v>248</v>
      </c>
      <c r="K37" s="8" t="s">
        <v>99</v>
      </c>
      <c r="L37" s="10" t="s">
        <v>249</v>
      </c>
      <c r="M37" s="8" t="s">
        <v>249</v>
      </c>
      <c r="N37" s="10" t="s">
        <v>250</v>
      </c>
      <c r="O37" s="11" t="s">
        <v>251</v>
      </c>
      <c r="P37" s="8" t="s">
        <v>252</v>
      </c>
      <c r="Q37" s="10"/>
      <c r="R37" s="10" t="s">
        <v>87</v>
      </c>
      <c r="S37" s="10"/>
    </row>
    <row r="38" customFormat="false" ht="35.05" hidden="false" customHeight="false" outlineLevel="0" collapsed="false">
      <c r="A38" s="8" t="s">
        <v>266</v>
      </c>
      <c r="B38" s="8" t="s">
        <v>193</v>
      </c>
      <c r="C38" s="8" t="s">
        <v>74</v>
      </c>
      <c r="D38" s="8" t="s">
        <v>260</v>
      </c>
      <c r="E38" s="9" t="n">
        <f aca="false">IF(C38="inhibition",-1,1)</f>
        <v>1</v>
      </c>
      <c r="F38" s="10" t="s">
        <v>76</v>
      </c>
      <c r="G38" s="10" t="s">
        <v>255</v>
      </c>
      <c r="H38" s="10" t="s">
        <v>267</v>
      </c>
      <c r="I38" s="8" t="s">
        <v>127</v>
      </c>
      <c r="J38" s="10" t="s">
        <v>248</v>
      </c>
      <c r="K38" s="8" t="s">
        <v>99</v>
      </c>
      <c r="L38" s="10" t="s">
        <v>268</v>
      </c>
      <c r="M38" s="8" t="s">
        <v>249</v>
      </c>
      <c r="N38" s="10" t="s">
        <v>269</v>
      </c>
      <c r="O38" s="11" t="s">
        <v>270</v>
      </c>
      <c r="P38" s="8" t="s">
        <v>271</v>
      </c>
      <c r="Q38" s="10"/>
      <c r="R38" s="10" t="s">
        <v>87</v>
      </c>
      <c r="S38" s="10"/>
    </row>
    <row r="39" customFormat="false" ht="46.25" hidden="false" customHeight="false" outlineLevel="0" collapsed="false">
      <c r="A39" s="8" t="s">
        <v>272</v>
      </c>
      <c r="B39" s="8" t="s">
        <v>89</v>
      </c>
      <c r="C39" s="8" t="s">
        <v>74</v>
      </c>
      <c r="D39" s="8" t="s">
        <v>260</v>
      </c>
      <c r="E39" s="9" t="n">
        <f aca="false">IF(C39="inhibition",-1,1)</f>
        <v>1</v>
      </c>
      <c r="F39" s="10" t="s">
        <v>76</v>
      </c>
      <c r="G39" s="10" t="s">
        <v>255</v>
      </c>
      <c r="H39" s="10" t="s">
        <v>90</v>
      </c>
      <c r="I39" s="8" t="s">
        <v>79</v>
      </c>
      <c r="J39" s="10" t="s">
        <v>91</v>
      </c>
      <c r="K39" s="8" t="s">
        <v>81</v>
      </c>
      <c r="L39" s="10" t="s">
        <v>92</v>
      </c>
      <c r="M39" s="8" t="s">
        <v>82</v>
      </c>
      <c r="N39" s="10" t="s">
        <v>93</v>
      </c>
      <c r="O39" s="11" t="s">
        <v>94</v>
      </c>
      <c r="P39" s="8" t="s">
        <v>95</v>
      </c>
      <c r="Q39" s="10"/>
      <c r="R39" s="10" t="s">
        <v>87</v>
      </c>
      <c r="S39" s="10"/>
    </row>
    <row r="40" customFormat="false" ht="35.05" hidden="false" customHeight="false" outlineLevel="0" collapsed="false">
      <c r="A40" s="8" t="s">
        <v>273</v>
      </c>
      <c r="B40" s="8" t="s">
        <v>242</v>
      </c>
      <c r="C40" s="8" t="s">
        <v>134</v>
      </c>
      <c r="D40" s="8" t="s">
        <v>260</v>
      </c>
      <c r="E40" s="9" t="n">
        <f aca="false">IF(C40="inhibition",-1,1)</f>
        <v>-1</v>
      </c>
      <c r="F40" s="10" t="s">
        <v>195</v>
      </c>
      <c r="G40" s="10" t="s">
        <v>255</v>
      </c>
      <c r="H40" s="10" t="s">
        <v>196</v>
      </c>
      <c r="I40" s="8" t="s">
        <v>145</v>
      </c>
      <c r="J40" s="10" t="s">
        <v>144</v>
      </c>
      <c r="K40" s="8" t="s">
        <v>146</v>
      </c>
      <c r="L40" s="10" t="s">
        <v>144</v>
      </c>
      <c r="M40" s="8" t="s">
        <v>144</v>
      </c>
      <c r="N40" s="10" t="s">
        <v>274</v>
      </c>
      <c r="O40" s="11" t="s">
        <v>275</v>
      </c>
      <c r="P40" s="8"/>
      <c r="Q40" s="10"/>
      <c r="R40" s="10" t="s">
        <v>87</v>
      </c>
      <c r="S40" s="10"/>
    </row>
    <row r="41" customFormat="false" ht="46.25" hidden="false" customHeight="false" outlineLevel="0" collapsed="false">
      <c r="A41" s="8" t="s">
        <v>276</v>
      </c>
      <c r="B41" s="8" t="s">
        <v>113</v>
      </c>
      <c r="C41" s="8" t="s">
        <v>134</v>
      </c>
      <c r="D41" s="8" t="s">
        <v>260</v>
      </c>
      <c r="E41" s="9" t="n">
        <f aca="false">IF(C41="inhibition",-1,1)</f>
        <v>-1</v>
      </c>
      <c r="F41" s="10" t="s">
        <v>114</v>
      </c>
      <c r="G41" s="10" t="s">
        <v>255</v>
      </c>
      <c r="H41" s="10" t="s">
        <v>90</v>
      </c>
      <c r="I41" s="8" t="s">
        <v>79</v>
      </c>
      <c r="J41" s="10" t="s">
        <v>108</v>
      </c>
      <c r="K41" s="8" t="s">
        <v>81</v>
      </c>
      <c r="L41" s="10" t="s">
        <v>115</v>
      </c>
      <c r="M41" s="8" t="s">
        <v>82</v>
      </c>
      <c r="N41" s="10" t="s">
        <v>243</v>
      </c>
      <c r="O41" s="11" t="s">
        <v>244</v>
      </c>
      <c r="P41" s="8" t="s">
        <v>245</v>
      </c>
      <c r="Q41" s="10"/>
      <c r="R41" s="10" t="s">
        <v>87</v>
      </c>
      <c r="S41" s="10"/>
    </row>
    <row r="42" customFormat="false" ht="46.25" hidden="false" customHeight="false" outlineLevel="0" collapsed="false">
      <c r="A42" s="8" t="s">
        <v>277</v>
      </c>
      <c r="B42" s="8" t="s">
        <v>201</v>
      </c>
      <c r="C42" s="8" t="s">
        <v>74</v>
      </c>
      <c r="D42" s="8" t="s">
        <v>278</v>
      </c>
      <c r="E42" s="9" t="n">
        <f aca="false">IF(C42="inhibition",-1,1)</f>
        <v>1</v>
      </c>
      <c r="F42" s="10" t="s">
        <v>76</v>
      </c>
      <c r="G42" s="10" t="s">
        <v>279</v>
      </c>
      <c r="H42" s="10" t="s">
        <v>280</v>
      </c>
      <c r="I42" s="8" t="s">
        <v>145</v>
      </c>
      <c r="J42" s="10" t="s">
        <v>281</v>
      </c>
      <c r="K42" s="8" t="s">
        <v>99</v>
      </c>
      <c r="L42" s="10" t="s">
        <v>92</v>
      </c>
      <c r="M42" s="8" t="s">
        <v>82</v>
      </c>
      <c r="N42" s="10" t="s">
        <v>282</v>
      </c>
      <c r="O42" s="8"/>
      <c r="P42" s="8"/>
      <c r="Q42" s="10"/>
      <c r="R42" s="10" t="s">
        <v>198</v>
      </c>
      <c r="S42" s="10"/>
    </row>
    <row r="43" customFormat="false" ht="46.25" hidden="false" customHeight="false" outlineLevel="0" collapsed="false">
      <c r="A43" s="8" t="s">
        <v>283</v>
      </c>
      <c r="B43" s="8" t="s">
        <v>120</v>
      </c>
      <c r="C43" s="8" t="s">
        <v>74</v>
      </c>
      <c r="D43" s="8" t="s">
        <v>278</v>
      </c>
      <c r="E43" s="9" t="n">
        <f aca="false">IF(C43="inhibition",-1,1)</f>
        <v>1</v>
      </c>
      <c r="F43" s="10" t="s">
        <v>76</v>
      </c>
      <c r="G43" s="10" t="s">
        <v>279</v>
      </c>
      <c r="H43" s="10" t="s">
        <v>173</v>
      </c>
      <c r="I43" s="8" t="s">
        <v>127</v>
      </c>
      <c r="J43" s="10" t="s">
        <v>108</v>
      </c>
      <c r="K43" s="8" t="s">
        <v>81</v>
      </c>
      <c r="L43" s="10" t="s">
        <v>284</v>
      </c>
      <c r="M43" s="8" t="s">
        <v>216</v>
      </c>
      <c r="N43" s="10" t="s">
        <v>285</v>
      </c>
      <c r="O43" s="11" t="s">
        <v>286</v>
      </c>
      <c r="P43" s="8" t="s">
        <v>287</v>
      </c>
      <c r="Q43" s="10"/>
      <c r="R43" s="10" t="s">
        <v>87</v>
      </c>
      <c r="S43" s="10"/>
    </row>
    <row r="44" customFormat="false" ht="46.25" hidden="false" customHeight="false" outlineLevel="0" collapsed="false">
      <c r="A44" s="8" t="s">
        <v>288</v>
      </c>
      <c r="B44" s="8" t="s">
        <v>289</v>
      </c>
      <c r="C44" s="8" t="s">
        <v>74</v>
      </c>
      <c r="D44" s="8" t="s">
        <v>278</v>
      </c>
      <c r="E44" s="9" t="n">
        <f aca="false">IF(C44="inhibition",-1,1)</f>
        <v>1</v>
      </c>
      <c r="F44" s="10" t="s">
        <v>76</v>
      </c>
      <c r="G44" s="10" t="s">
        <v>279</v>
      </c>
      <c r="H44" s="10" t="s">
        <v>290</v>
      </c>
      <c r="I44" s="8" t="s">
        <v>145</v>
      </c>
      <c r="J44" s="10" t="s">
        <v>144</v>
      </c>
      <c r="K44" s="8" t="s">
        <v>146</v>
      </c>
      <c r="L44" s="10" t="s">
        <v>144</v>
      </c>
      <c r="M44" s="8" t="s">
        <v>144</v>
      </c>
      <c r="N44" s="10" t="s">
        <v>291</v>
      </c>
      <c r="O44" s="11" t="s">
        <v>292</v>
      </c>
      <c r="P44" s="8" t="s">
        <v>293</v>
      </c>
      <c r="Q44" s="10"/>
      <c r="R44" s="10" t="s">
        <v>87</v>
      </c>
      <c r="S44" s="10"/>
    </row>
    <row r="45" customFormat="false" ht="57.45" hidden="false" customHeight="false" outlineLevel="0" collapsed="false">
      <c r="A45" s="8" t="s">
        <v>294</v>
      </c>
      <c r="B45" s="8" t="s">
        <v>73</v>
      </c>
      <c r="C45" s="8" t="s">
        <v>74</v>
      </c>
      <c r="D45" s="8" t="s">
        <v>295</v>
      </c>
      <c r="E45" s="9" t="n">
        <f aca="false">IF(C45="inhibition",-1,1)</f>
        <v>1</v>
      </c>
      <c r="F45" s="10" t="s">
        <v>76</v>
      </c>
      <c r="G45" s="10" t="s">
        <v>255</v>
      </c>
      <c r="H45" s="10" t="s">
        <v>90</v>
      </c>
      <c r="I45" s="8" t="s">
        <v>79</v>
      </c>
      <c r="J45" s="10" t="s">
        <v>98</v>
      </c>
      <c r="K45" s="8" t="s">
        <v>99</v>
      </c>
      <c r="L45" s="10" t="s">
        <v>92</v>
      </c>
      <c r="M45" s="8" t="s">
        <v>82</v>
      </c>
      <c r="N45" s="10" t="s">
        <v>296</v>
      </c>
      <c r="O45" s="11" t="s">
        <v>297</v>
      </c>
      <c r="P45" s="8" t="s">
        <v>298</v>
      </c>
      <c r="Q45" s="10"/>
      <c r="R45" s="10" t="s">
        <v>87</v>
      </c>
      <c r="S45" s="10"/>
    </row>
    <row r="46" customFormat="false" ht="35.05" hidden="false" customHeight="false" outlineLevel="0" collapsed="false">
      <c r="A46" s="8" t="s">
        <v>299</v>
      </c>
      <c r="B46" s="8" t="s">
        <v>300</v>
      </c>
      <c r="C46" s="8" t="s">
        <v>134</v>
      </c>
      <c r="D46" s="8" t="s">
        <v>295</v>
      </c>
      <c r="E46" s="9" t="n">
        <f aca="false">IF(C46="inhibition",-1,1)</f>
        <v>-1</v>
      </c>
      <c r="F46" s="10" t="s">
        <v>76</v>
      </c>
      <c r="G46" s="10" t="s">
        <v>255</v>
      </c>
      <c r="H46" s="10" t="s">
        <v>144</v>
      </c>
      <c r="I46" s="8" t="s">
        <v>145</v>
      </c>
      <c r="J46" s="10" t="s">
        <v>144</v>
      </c>
      <c r="K46" s="8" t="s">
        <v>146</v>
      </c>
      <c r="L46" s="10" t="s">
        <v>144</v>
      </c>
      <c r="M46" s="8" t="s">
        <v>144</v>
      </c>
      <c r="N46" s="10" t="s">
        <v>301</v>
      </c>
      <c r="O46" s="11" t="s">
        <v>302</v>
      </c>
      <c r="P46" s="8" t="s">
        <v>303</v>
      </c>
      <c r="Q46" s="10"/>
      <c r="R46" s="10" t="s">
        <v>87</v>
      </c>
      <c r="S46" s="10"/>
    </row>
    <row r="47" customFormat="false" ht="46.25" hidden="false" customHeight="false" outlineLevel="0" collapsed="false">
      <c r="A47" s="8" t="s">
        <v>304</v>
      </c>
      <c r="B47" s="8" t="s">
        <v>305</v>
      </c>
      <c r="C47" s="8" t="s">
        <v>74</v>
      </c>
      <c r="D47" s="8" t="s">
        <v>164</v>
      </c>
      <c r="E47" s="9" t="n">
        <f aca="false">IF(C47="inhibition",-1,1)</f>
        <v>1</v>
      </c>
      <c r="F47" s="10" t="s">
        <v>306</v>
      </c>
      <c r="G47" s="10" t="s">
        <v>166</v>
      </c>
      <c r="H47" s="10" t="s">
        <v>307</v>
      </c>
      <c r="I47" s="8" t="s">
        <v>79</v>
      </c>
      <c r="J47" s="10" t="s">
        <v>308</v>
      </c>
      <c r="K47" s="8" t="s">
        <v>81</v>
      </c>
      <c r="L47" s="10" t="s">
        <v>309</v>
      </c>
      <c r="M47" s="8" t="s">
        <v>216</v>
      </c>
      <c r="N47" s="10" t="s">
        <v>310</v>
      </c>
      <c r="O47" s="11" t="s">
        <v>311</v>
      </c>
      <c r="P47" s="8" t="s">
        <v>312</v>
      </c>
      <c r="Q47" s="10"/>
      <c r="R47" s="10" t="s">
        <v>87</v>
      </c>
      <c r="S47" s="10"/>
    </row>
    <row r="48" customFormat="false" ht="46.25" hidden="false" customHeight="false" outlineLevel="0" collapsed="false">
      <c r="A48" s="8" t="s">
        <v>313</v>
      </c>
      <c r="B48" s="8" t="s">
        <v>314</v>
      </c>
      <c r="C48" s="8" t="s">
        <v>74</v>
      </c>
      <c r="D48" s="8" t="s">
        <v>315</v>
      </c>
      <c r="E48" s="9" t="n">
        <f aca="false">IF(C48="inhibition",-1,1)</f>
        <v>1</v>
      </c>
      <c r="F48" s="10" t="s">
        <v>166</v>
      </c>
      <c r="G48" s="10" t="s">
        <v>166</v>
      </c>
      <c r="H48" s="10" t="s">
        <v>126</v>
      </c>
      <c r="I48" s="8" t="s">
        <v>127</v>
      </c>
      <c r="J48" s="10" t="s">
        <v>316</v>
      </c>
      <c r="K48" s="8" t="s">
        <v>146</v>
      </c>
      <c r="L48" s="10" t="s">
        <v>82</v>
      </c>
      <c r="M48" s="8" t="s">
        <v>82</v>
      </c>
      <c r="N48" s="10" t="s">
        <v>317</v>
      </c>
      <c r="O48" s="11" t="s">
        <v>318</v>
      </c>
      <c r="P48" s="8" t="s">
        <v>319</v>
      </c>
      <c r="Q48" s="10" t="s">
        <v>320</v>
      </c>
      <c r="R48" s="10" t="s">
        <v>87</v>
      </c>
      <c r="S48" s="10"/>
    </row>
    <row r="49" customFormat="false" ht="46.25" hidden="false" customHeight="false" outlineLevel="0" collapsed="false">
      <c r="A49" s="8" t="s">
        <v>321</v>
      </c>
      <c r="B49" s="8" t="s">
        <v>322</v>
      </c>
      <c r="C49" s="8" t="s">
        <v>74</v>
      </c>
      <c r="D49" s="8" t="s">
        <v>315</v>
      </c>
      <c r="E49" s="9" t="n">
        <f aca="false">IF(C49="inhibition",-1,1)</f>
        <v>1</v>
      </c>
      <c r="F49" s="10" t="s">
        <v>306</v>
      </c>
      <c r="G49" s="10" t="s">
        <v>166</v>
      </c>
      <c r="H49" s="10" t="s">
        <v>90</v>
      </c>
      <c r="I49" s="8" t="s">
        <v>79</v>
      </c>
      <c r="J49" s="10" t="s">
        <v>108</v>
      </c>
      <c r="K49" s="8" t="s">
        <v>81</v>
      </c>
      <c r="L49" s="10" t="s">
        <v>92</v>
      </c>
      <c r="M49" s="8" t="s">
        <v>82</v>
      </c>
      <c r="N49" s="10" t="s">
        <v>323</v>
      </c>
      <c r="O49" s="11" t="s">
        <v>324</v>
      </c>
      <c r="P49" s="8" t="s">
        <v>325</v>
      </c>
      <c r="Q49" s="10"/>
      <c r="R49" s="10" t="s">
        <v>87</v>
      </c>
      <c r="S49" s="10"/>
    </row>
    <row r="50" customFormat="false" ht="35.05" hidden="false" customHeight="false" outlineLevel="0" collapsed="false">
      <c r="A50" s="8" t="s">
        <v>326</v>
      </c>
      <c r="B50" s="8" t="s">
        <v>164</v>
      </c>
      <c r="C50" s="8" t="s">
        <v>74</v>
      </c>
      <c r="D50" s="8" t="s">
        <v>327</v>
      </c>
      <c r="E50" s="9" t="n">
        <f aca="false">IF(C50="inhibition",-1,1)</f>
        <v>1</v>
      </c>
      <c r="F50" s="10" t="s">
        <v>166</v>
      </c>
      <c r="G50" s="10" t="s">
        <v>166</v>
      </c>
      <c r="H50" s="10" t="s">
        <v>173</v>
      </c>
      <c r="I50" s="8" t="s">
        <v>127</v>
      </c>
      <c r="J50" s="10" t="s">
        <v>108</v>
      </c>
      <c r="K50" s="8" t="s">
        <v>81</v>
      </c>
      <c r="L50" s="10" t="s">
        <v>92</v>
      </c>
      <c r="M50" s="8" t="s">
        <v>82</v>
      </c>
      <c r="N50" s="10" t="s">
        <v>328</v>
      </c>
      <c r="O50" s="11" t="s">
        <v>329</v>
      </c>
      <c r="P50" s="8"/>
      <c r="Q50" s="10"/>
      <c r="R50" s="10" t="s">
        <v>87</v>
      </c>
      <c r="S50" s="10"/>
    </row>
    <row r="51" customFormat="false" ht="79.85" hidden="false" customHeight="false" outlineLevel="0" collapsed="false">
      <c r="A51" s="8" t="s">
        <v>330</v>
      </c>
      <c r="B51" s="8" t="s">
        <v>315</v>
      </c>
      <c r="C51" s="8" t="s">
        <v>74</v>
      </c>
      <c r="D51" s="8" t="s">
        <v>331</v>
      </c>
      <c r="E51" s="9" t="n">
        <f aca="false">IF(C51="inhibition",-1,1)</f>
        <v>1</v>
      </c>
      <c r="F51" s="10" t="s">
        <v>166</v>
      </c>
      <c r="G51" s="10" t="s">
        <v>166</v>
      </c>
      <c r="H51" s="10" t="s">
        <v>90</v>
      </c>
      <c r="I51" s="8" t="s">
        <v>79</v>
      </c>
      <c r="J51" s="10" t="s">
        <v>91</v>
      </c>
      <c r="K51" s="8" t="s">
        <v>81</v>
      </c>
      <c r="L51" s="10" t="s">
        <v>92</v>
      </c>
      <c r="M51" s="8" t="s">
        <v>82</v>
      </c>
      <c r="N51" s="10" t="s">
        <v>332</v>
      </c>
      <c r="O51" s="11" t="s">
        <v>333</v>
      </c>
      <c r="P51" s="8" t="s">
        <v>334</v>
      </c>
      <c r="Q51" s="10"/>
      <c r="R51" s="10" t="s">
        <v>87</v>
      </c>
      <c r="S51" s="10"/>
    </row>
    <row r="52" customFormat="false" ht="35.05" hidden="false" customHeight="false" outlineLevel="0" collapsed="false">
      <c r="A52" s="8" t="s">
        <v>335</v>
      </c>
      <c r="B52" s="8" t="s">
        <v>314</v>
      </c>
      <c r="C52" s="8" t="s">
        <v>74</v>
      </c>
      <c r="D52" s="8" t="s">
        <v>331</v>
      </c>
      <c r="E52" s="9" t="n">
        <f aca="false">IF(C52="inhibition",-1,1)</f>
        <v>1</v>
      </c>
      <c r="F52" s="10" t="s">
        <v>166</v>
      </c>
      <c r="G52" s="10" t="s">
        <v>166</v>
      </c>
      <c r="H52" s="10" t="s">
        <v>144</v>
      </c>
      <c r="I52" s="8" t="s">
        <v>145</v>
      </c>
      <c r="J52" s="10" t="s">
        <v>144</v>
      </c>
      <c r="K52" s="8" t="s">
        <v>146</v>
      </c>
      <c r="L52" s="10" t="s">
        <v>144</v>
      </c>
      <c r="M52" s="8" t="s">
        <v>144</v>
      </c>
      <c r="N52" s="10" t="s">
        <v>336</v>
      </c>
      <c r="O52" s="11" t="s">
        <v>337</v>
      </c>
      <c r="P52" s="8" t="s">
        <v>338</v>
      </c>
      <c r="Q52" s="10"/>
      <c r="R52" s="10" t="s">
        <v>87</v>
      </c>
      <c r="S52" s="10"/>
    </row>
    <row r="53" customFormat="false" ht="23.85" hidden="false" customHeight="false" outlineLevel="0" collapsed="false">
      <c r="A53" s="8" t="s">
        <v>339</v>
      </c>
      <c r="B53" s="8" t="s">
        <v>340</v>
      </c>
      <c r="C53" s="8" t="s">
        <v>74</v>
      </c>
      <c r="D53" s="8" t="s">
        <v>341</v>
      </c>
      <c r="E53" s="9" t="n">
        <f aca="false">IF(C53="inhibition",-1,1)</f>
        <v>1</v>
      </c>
      <c r="F53" s="10" t="s">
        <v>255</v>
      </c>
      <c r="G53" s="10" t="s">
        <v>255</v>
      </c>
      <c r="H53" s="10" t="s">
        <v>196</v>
      </c>
      <c r="I53" s="8" t="s">
        <v>145</v>
      </c>
      <c r="J53" s="10" t="s">
        <v>144</v>
      </c>
      <c r="K53" s="8" t="s">
        <v>146</v>
      </c>
      <c r="L53" s="10" t="s">
        <v>144</v>
      </c>
      <c r="M53" s="8" t="s">
        <v>144</v>
      </c>
      <c r="N53" s="10" t="s">
        <v>342</v>
      </c>
      <c r="O53" s="11" t="s">
        <v>343</v>
      </c>
      <c r="P53" s="8"/>
      <c r="Q53" s="10"/>
      <c r="R53" s="10" t="s">
        <v>87</v>
      </c>
      <c r="S53" s="10"/>
    </row>
    <row r="54" customFormat="false" ht="46.25" hidden="false" customHeight="false" outlineLevel="0" collapsed="false">
      <c r="A54" s="8" t="s">
        <v>344</v>
      </c>
      <c r="B54" s="8" t="s">
        <v>345</v>
      </c>
      <c r="C54" s="8" t="s">
        <v>74</v>
      </c>
      <c r="D54" s="8" t="s">
        <v>340</v>
      </c>
      <c r="E54" s="9" t="n">
        <f aca="false">IF(C54="inhibition",-1,1)</f>
        <v>1</v>
      </c>
      <c r="F54" s="10" t="s">
        <v>255</v>
      </c>
      <c r="G54" s="10" t="s">
        <v>255</v>
      </c>
      <c r="H54" s="10" t="s">
        <v>144</v>
      </c>
      <c r="I54" s="8" t="s">
        <v>145</v>
      </c>
      <c r="J54" s="10" t="s">
        <v>144</v>
      </c>
      <c r="K54" s="8" t="s">
        <v>146</v>
      </c>
      <c r="L54" s="10" t="s">
        <v>144</v>
      </c>
      <c r="M54" s="8" t="s">
        <v>144</v>
      </c>
      <c r="N54" s="10" t="s">
        <v>346</v>
      </c>
      <c r="O54" s="11" t="s">
        <v>347</v>
      </c>
      <c r="P54" s="8" t="s">
        <v>348</v>
      </c>
      <c r="Q54" s="10"/>
      <c r="R54" s="10" t="s">
        <v>87</v>
      </c>
      <c r="S54" s="10"/>
    </row>
    <row r="55" customFormat="false" ht="46.25" hidden="false" customHeight="false" outlineLevel="0" collapsed="false">
      <c r="A55" s="8" t="s">
        <v>349</v>
      </c>
      <c r="B55" s="8" t="s">
        <v>157</v>
      </c>
      <c r="C55" s="8" t="s">
        <v>134</v>
      </c>
      <c r="D55" s="8" t="s">
        <v>340</v>
      </c>
      <c r="E55" s="9" t="n">
        <f aca="false">IF(C55="inhibition",-1,1)</f>
        <v>-1</v>
      </c>
      <c r="F55" s="10" t="s">
        <v>138</v>
      </c>
      <c r="G55" s="10" t="s">
        <v>255</v>
      </c>
      <c r="H55" s="10" t="s">
        <v>247</v>
      </c>
      <c r="I55" s="8" t="s">
        <v>127</v>
      </c>
      <c r="J55" s="10" t="s">
        <v>248</v>
      </c>
      <c r="K55" s="8" t="s">
        <v>99</v>
      </c>
      <c r="L55" s="10" t="s">
        <v>249</v>
      </c>
      <c r="M55" s="8" t="s">
        <v>249</v>
      </c>
      <c r="N55" s="10" t="s">
        <v>250</v>
      </c>
      <c r="O55" s="11" t="s">
        <v>251</v>
      </c>
      <c r="P55" s="8" t="s">
        <v>252</v>
      </c>
      <c r="Q55" s="10"/>
      <c r="R55" s="10" t="s">
        <v>87</v>
      </c>
      <c r="S55" s="10"/>
    </row>
    <row r="56" customFormat="false" ht="35.05" hidden="false" customHeight="false" outlineLevel="0" collapsed="false">
      <c r="A56" s="8" t="s">
        <v>350</v>
      </c>
      <c r="B56" s="8" t="s">
        <v>351</v>
      </c>
      <c r="C56" s="8" t="s">
        <v>74</v>
      </c>
      <c r="D56" s="8" t="s">
        <v>352</v>
      </c>
      <c r="E56" s="9" t="n">
        <f aca="false">IF(C56="inhibition",-1,1)</f>
        <v>1</v>
      </c>
      <c r="F56" s="10" t="s">
        <v>76</v>
      </c>
      <c r="G56" s="10" t="s">
        <v>138</v>
      </c>
      <c r="H56" s="10" t="s">
        <v>126</v>
      </c>
      <c r="I56" s="8" t="s">
        <v>127</v>
      </c>
      <c r="J56" s="10" t="s">
        <v>353</v>
      </c>
      <c r="K56" s="8" t="s">
        <v>81</v>
      </c>
      <c r="L56" s="10" t="s">
        <v>82</v>
      </c>
      <c r="M56" s="8" t="s">
        <v>82</v>
      </c>
      <c r="N56" s="10" t="s">
        <v>354</v>
      </c>
      <c r="O56" s="11" t="s">
        <v>355</v>
      </c>
      <c r="P56" s="8" t="s">
        <v>356</v>
      </c>
      <c r="Q56" s="10" t="s">
        <v>357</v>
      </c>
      <c r="R56" s="10" t="s">
        <v>87</v>
      </c>
      <c r="S56" s="10"/>
    </row>
    <row r="57" customFormat="false" ht="35.05" hidden="false" customHeight="false" outlineLevel="0" collapsed="false">
      <c r="A57" s="8" t="s">
        <v>358</v>
      </c>
      <c r="B57" s="8" t="s">
        <v>300</v>
      </c>
      <c r="C57" s="8" t="s">
        <v>74</v>
      </c>
      <c r="D57" s="8" t="s">
        <v>352</v>
      </c>
      <c r="E57" s="9" t="n">
        <f aca="false">IF(C57="inhibition",-1,1)</f>
        <v>1</v>
      </c>
      <c r="F57" s="10" t="s">
        <v>76</v>
      </c>
      <c r="G57" s="10" t="s">
        <v>138</v>
      </c>
      <c r="H57" s="10" t="s">
        <v>359</v>
      </c>
      <c r="I57" s="8" t="s">
        <v>145</v>
      </c>
      <c r="J57" s="10" t="s">
        <v>144</v>
      </c>
      <c r="K57" s="8" t="s">
        <v>146</v>
      </c>
      <c r="L57" s="10" t="s">
        <v>144</v>
      </c>
      <c r="M57" s="8" t="s">
        <v>144</v>
      </c>
      <c r="N57" s="10" t="s">
        <v>360</v>
      </c>
      <c r="O57" s="11" t="s">
        <v>361</v>
      </c>
      <c r="P57" s="8"/>
      <c r="Q57" s="10"/>
      <c r="R57" s="10" t="s">
        <v>87</v>
      </c>
      <c r="S57" s="10"/>
    </row>
    <row r="58" customFormat="false" ht="57.45" hidden="false" customHeight="false" outlineLevel="0" collapsed="false">
      <c r="A58" s="8" t="s">
        <v>362</v>
      </c>
      <c r="B58" s="8" t="s">
        <v>201</v>
      </c>
      <c r="C58" s="8" t="s">
        <v>74</v>
      </c>
      <c r="D58" s="8" t="s">
        <v>363</v>
      </c>
      <c r="E58" s="9" t="n">
        <f aca="false">IF(C58="inhibition",-1,1)</f>
        <v>1</v>
      </c>
      <c r="F58" s="10" t="s">
        <v>76</v>
      </c>
      <c r="G58" s="10" t="s">
        <v>107</v>
      </c>
      <c r="H58" s="10" t="s">
        <v>196</v>
      </c>
      <c r="I58" s="8" t="s">
        <v>145</v>
      </c>
      <c r="J58" s="10" t="s">
        <v>144</v>
      </c>
      <c r="K58" s="8" t="s">
        <v>146</v>
      </c>
      <c r="L58" s="10" t="s">
        <v>144</v>
      </c>
      <c r="M58" s="8" t="s">
        <v>144</v>
      </c>
      <c r="N58" s="10" t="s">
        <v>364</v>
      </c>
      <c r="O58" s="11" t="s">
        <v>365</v>
      </c>
      <c r="P58" s="8" t="s">
        <v>366</v>
      </c>
      <c r="Q58" s="10"/>
      <c r="R58" s="10" t="s">
        <v>87</v>
      </c>
      <c r="S58" s="10"/>
    </row>
    <row r="59" customFormat="false" ht="46.25" hidden="false" customHeight="false" outlineLevel="0" collapsed="false">
      <c r="A59" s="8" t="s">
        <v>367</v>
      </c>
      <c r="B59" s="8" t="s">
        <v>120</v>
      </c>
      <c r="C59" s="8" t="s">
        <v>74</v>
      </c>
      <c r="D59" s="8" t="s">
        <v>363</v>
      </c>
      <c r="E59" s="9" t="n">
        <f aca="false">IF(C59="inhibition",-1,1)</f>
        <v>1</v>
      </c>
      <c r="F59" s="10" t="s">
        <v>76</v>
      </c>
      <c r="G59" s="10" t="s">
        <v>107</v>
      </c>
      <c r="H59" s="10" t="s">
        <v>90</v>
      </c>
      <c r="I59" s="8" t="s">
        <v>79</v>
      </c>
      <c r="J59" s="10" t="s">
        <v>91</v>
      </c>
      <c r="K59" s="8" t="s">
        <v>81</v>
      </c>
      <c r="L59" s="10" t="s">
        <v>100</v>
      </c>
      <c r="M59" s="8" t="s">
        <v>82</v>
      </c>
      <c r="N59" s="10" t="s">
        <v>368</v>
      </c>
      <c r="O59" s="11" t="s">
        <v>369</v>
      </c>
      <c r="P59" s="8"/>
      <c r="Q59" s="10"/>
      <c r="R59" s="10" t="s">
        <v>87</v>
      </c>
      <c r="S59" s="10"/>
    </row>
    <row r="60" customFormat="false" ht="35.05" hidden="false" customHeight="false" outlineLevel="0" collapsed="false">
      <c r="A60" s="8" t="s">
        <v>370</v>
      </c>
      <c r="B60" s="8" t="s">
        <v>97</v>
      </c>
      <c r="C60" s="8" t="s">
        <v>74</v>
      </c>
      <c r="D60" s="8" t="s">
        <v>371</v>
      </c>
      <c r="E60" s="9" t="n">
        <f aca="false">IF(C60="inhibition",-1,1)</f>
        <v>1</v>
      </c>
      <c r="F60" s="10" t="s">
        <v>76</v>
      </c>
      <c r="G60" s="10" t="s">
        <v>279</v>
      </c>
      <c r="H60" s="10" t="s">
        <v>372</v>
      </c>
      <c r="I60" s="8" t="s">
        <v>79</v>
      </c>
      <c r="J60" s="10" t="s">
        <v>248</v>
      </c>
      <c r="K60" s="8" t="s">
        <v>99</v>
      </c>
      <c r="L60" s="10" t="s">
        <v>373</v>
      </c>
      <c r="M60" s="8" t="s">
        <v>216</v>
      </c>
      <c r="N60" s="10" t="s">
        <v>374</v>
      </c>
      <c r="O60" s="11" t="s">
        <v>375</v>
      </c>
      <c r="P60" s="8"/>
      <c r="Q60" s="10"/>
      <c r="R60" s="10" t="s">
        <v>87</v>
      </c>
      <c r="S60" s="10"/>
    </row>
    <row r="61" customFormat="false" ht="46.25" hidden="false" customHeight="false" outlineLevel="0" collapsed="false">
      <c r="A61" s="8" t="s">
        <v>376</v>
      </c>
      <c r="B61" s="8" t="s">
        <v>377</v>
      </c>
      <c r="C61" s="8" t="s">
        <v>74</v>
      </c>
      <c r="D61" s="8" t="s">
        <v>371</v>
      </c>
      <c r="E61" s="9" t="n">
        <f aca="false">IF(C61="inhibition",-1,1)</f>
        <v>1</v>
      </c>
      <c r="F61" s="10" t="s">
        <v>76</v>
      </c>
      <c r="G61" s="10" t="s">
        <v>279</v>
      </c>
      <c r="H61" s="10" t="s">
        <v>173</v>
      </c>
      <c r="I61" s="8" t="s">
        <v>127</v>
      </c>
      <c r="J61" s="10" t="s">
        <v>378</v>
      </c>
      <c r="K61" s="8" t="s">
        <v>99</v>
      </c>
      <c r="L61" s="10" t="s">
        <v>92</v>
      </c>
      <c r="M61" s="8" t="s">
        <v>82</v>
      </c>
      <c r="N61" s="10" t="s">
        <v>379</v>
      </c>
      <c r="O61" s="11" t="s">
        <v>380</v>
      </c>
      <c r="P61" s="8" t="s">
        <v>381</v>
      </c>
      <c r="Q61" s="10"/>
      <c r="R61" s="10" t="s">
        <v>87</v>
      </c>
      <c r="S61" s="10"/>
    </row>
    <row r="62" customFormat="false" ht="35.05" hidden="false" customHeight="false" outlineLevel="0" collapsed="false">
      <c r="A62" s="8" t="s">
        <v>382</v>
      </c>
      <c r="B62" s="8" t="s">
        <v>383</v>
      </c>
      <c r="C62" s="8" t="s">
        <v>134</v>
      </c>
      <c r="D62" s="8" t="s">
        <v>371</v>
      </c>
      <c r="E62" s="9" t="n">
        <f aca="false">IF(C62="inhibition",-1,1)</f>
        <v>-1</v>
      </c>
      <c r="F62" s="10" t="s">
        <v>195</v>
      </c>
      <c r="G62" s="10" t="s">
        <v>279</v>
      </c>
      <c r="H62" s="10" t="s">
        <v>90</v>
      </c>
      <c r="I62" s="8" t="s">
        <v>79</v>
      </c>
      <c r="J62" s="10" t="s">
        <v>378</v>
      </c>
      <c r="K62" s="8" t="s">
        <v>99</v>
      </c>
      <c r="L62" s="10" t="s">
        <v>92</v>
      </c>
      <c r="M62" s="8" t="s">
        <v>82</v>
      </c>
      <c r="N62" s="10" t="s">
        <v>384</v>
      </c>
      <c r="O62" s="11" t="s">
        <v>385</v>
      </c>
      <c r="P62" s="8"/>
      <c r="Q62" s="10"/>
      <c r="R62" s="10" t="s">
        <v>87</v>
      </c>
      <c r="S62" s="10"/>
    </row>
    <row r="63" customFormat="false" ht="46.25" hidden="false" customHeight="false" outlineLevel="0" collapsed="false">
      <c r="A63" s="8" t="s">
        <v>386</v>
      </c>
      <c r="B63" s="8" t="s">
        <v>387</v>
      </c>
      <c r="C63" s="8" t="s">
        <v>74</v>
      </c>
      <c r="D63" s="8" t="s">
        <v>388</v>
      </c>
      <c r="E63" s="9" t="n">
        <f aca="false">IF(C63="inhibition",-1,1)</f>
        <v>1</v>
      </c>
      <c r="F63" s="10" t="s">
        <v>389</v>
      </c>
      <c r="G63" s="10" t="s">
        <v>389</v>
      </c>
      <c r="H63" s="10" t="s">
        <v>144</v>
      </c>
      <c r="I63" s="8" t="s">
        <v>145</v>
      </c>
      <c r="J63" s="10" t="s">
        <v>144</v>
      </c>
      <c r="K63" s="8" t="s">
        <v>146</v>
      </c>
      <c r="L63" s="10" t="s">
        <v>144</v>
      </c>
      <c r="M63" s="8" t="s">
        <v>144</v>
      </c>
      <c r="N63" s="10" t="s">
        <v>390</v>
      </c>
      <c r="O63" s="11" t="s">
        <v>391</v>
      </c>
      <c r="P63" s="8" t="s">
        <v>392</v>
      </c>
      <c r="Q63" s="10"/>
      <c r="R63" s="10" t="s">
        <v>87</v>
      </c>
      <c r="S63" s="10"/>
    </row>
    <row r="64" customFormat="false" ht="46.25" hidden="false" customHeight="false" outlineLevel="0" collapsed="false">
      <c r="A64" s="8" t="s">
        <v>393</v>
      </c>
      <c r="B64" s="8" t="s">
        <v>73</v>
      </c>
      <c r="C64" s="8" t="s">
        <v>74</v>
      </c>
      <c r="D64" s="8" t="s">
        <v>394</v>
      </c>
      <c r="E64" s="9" t="n">
        <f aca="false">IF(C64="inhibition",-1,1)</f>
        <v>1</v>
      </c>
      <c r="F64" s="10" t="s">
        <v>76</v>
      </c>
      <c r="G64" s="10" t="s">
        <v>76</v>
      </c>
      <c r="H64" s="10" t="s">
        <v>90</v>
      </c>
      <c r="I64" s="8" t="s">
        <v>79</v>
      </c>
      <c r="J64" s="10" t="s">
        <v>98</v>
      </c>
      <c r="K64" s="8" t="s">
        <v>99</v>
      </c>
      <c r="L64" s="10" t="s">
        <v>92</v>
      </c>
      <c r="M64" s="8" t="s">
        <v>82</v>
      </c>
      <c r="N64" s="10" t="s">
        <v>395</v>
      </c>
      <c r="O64" s="11" t="s">
        <v>396</v>
      </c>
      <c r="P64" s="8" t="s">
        <v>397</v>
      </c>
      <c r="Q64" s="10"/>
      <c r="R64" s="10" t="s">
        <v>87</v>
      </c>
      <c r="S64" s="10"/>
    </row>
    <row r="65" customFormat="false" ht="57.45" hidden="false" customHeight="false" outlineLevel="0" collapsed="false">
      <c r="A65" s="8" t="s">
        <v>398</v>
      </c>
      <c r="B65" s="8" t="s">
        <v>105</v>
      </c>
      <c r="C65" s="8" t="s">
        <v>74</v>
      </c>
      <c r="D65" s="8" t="s">
        <v>399</v>
      </c>
      <c r="E65" s="9" t="n">
        <f aca="false">IF(C65="inhibition",-1,1)</f>
        <v>1</v>
      </c>
      <c r="F65" s="10" t="s">
        <v>76</v>
      </c>
      <c r="G65" s="10" t="s">
        <v>77</v>
      </c>
      <c r="H65" s="10" t="s">
        <v>208</v>
      </c>
      <c r="I65" s="8" t="s">
        <v>127</v>
      </c>
      <c r="J65" s="10" t="s">
        <v>174</v>
      </c>
      <c r="K65" s="8" t="s">
        <v>99</v>
      </c>
      <c r="L65" s="10" t="s">
        <v>92</v>
      </c>
      <c r="M65" s="8" t="s">
        <v>82</v>
      </c>
      <c r="N65" s="10" t="s">
        <v>400</v>
      </c>
      <c r="O65" s="11" t="s">
        <v>401</v>
      </c>
      <c r="P65" s="8" t="s">
        <v>402</v>
      </c>
      <c r="Q65" s="10"/>
      <c r="R65" s="10" t="s">
        <v>87</v>
      </c>
      <c r="S65" s="10"/>
    </row>
    <row r="66" customFormat="false" ht="46.25" hidden="false" customHeight="false" outlineLevel="0" collapsed="false">
      <c r="A66" s="8" t="s">
        <v>403</v>
      </c>
      <c r="B66" s="8" t="s">
        <v>289</v>
      </c>
      <c r="C66" s="8" t="s">
        <v>74</v>
      </c>
      <c r="D66" s="8" t="s">
        <v>399</v>
      </c>
      <c r="E66" s="9" t="n">
        <f aca="false">IF(C66="inhibition",-1,1)</f>
        <v>1</v>
      </c>
      <c r="F66" s="10" t="s">
        <v>76</v>
      </c>
      <c r="G66" s="10" t="s">
        <v>77</v>
      </c>
      <c r="H66" s="10" t="s">
        <v>208</v>
      </c>
      <c r="I66" s="8" t="s">
        <v>127</v>
      </c>
      <c r="J66" s="10" t="s">
        <v>248</v>
      </c>
      <c r="K66" s="8" t="s">
        <v>99</v>
      </c>
      <c r="L66" s="10" t="s">
        <v>92</v>
      </c>
      <c r="M66" s="8" t="s">
        <v>82</v>
      </c>
      <c r="N66" s="10" t="s">
        <v>404</v>
      </c>
      <c r="O66" s="11" t="s">
        <v>405</v>
      </c>
      <c r="P66" s="8" t="s">
        <v>406</v>
      </c>
      <c r="Q66" s="10"/>
      <c r="R66" s="10" t="s">
        <v>87</v>
      </c>
      <c r="S66" s="10"/>
    </row>
    <row r="67" customFormat="false" ht="57.45" hidden="false" customHeight="false" outlineLevel="0" collapsed="false">
      <c r="A67" s="8" t="s">
        <v>407</v>
      </c>
      <c r="B67" s="8" t="s">
        <v>97</v>
      </c>
      <c r="C67" s="8" t="s">
        <v>134</v>
      </c>
      <c r="D67" s="8" t="s">
        <v>399</v>
      </c>
      <c r="E67" s="9" t="n">
        <f aca="false">IF(C67="inhibition",-1,1)</f>
        <v>-1</v>
      </c>
      <c r="F67" s="10" t="s">
        <v>76</v>
      </c>
      <c r="G67" s="10" t="s">
        <v>77</v>
      </c>
      <c r="H67" s="10" t="s">
        <v>208</v>
      </c>
      <c r="I67" s="8" t="s">
        <v>127</v>
      </c>
      <c r="J67" s="10" t="s">
        <v>408</v>
      </c>
      <c r="K67" s="8" t="s">
        <v>99</v>
      </c>
      <c r="L67" s="10" t="s">
        <v>92</v>
      </c>
      <c r="M67" s="8" t="s">
        <v>82</v>
      </c>
      <c r="N67" s="10" t="s">
        <v>409</v>
      </c>
      <c r="O67" s="11" t="s">
        <v>410</v>
      </c>
      <c r="P67" s="8" t="s">
        <v>411</v>
      </c>
      <c r="Q67" s="10"/>
      <c r="R67" s="10" t="s">
        <v>87</v>
      </c>
      <c r="S67" s="10"/>
    </row>
    <row r="68" customFormat="false" ht="46.25" hidden="false" customHeight="false" outlineLevel="0" collapsed="false">
      <c r="A68" s="8" t="s">
        <v>412</v>
      </c>
      <c r="B68" s="8" t="s">
        <v>201</v>
      </c>
      <c r="C68" s="8" t="s">
        <v>74</v>
      </c>
      <c r="D68" s="8" t="s">
        <v>413</v>
      </c>
      <c r="E68" s="9" t="n">
        <f aca="false">IF(C68="inhibition",-1,1)</f>
        <v>1</v>
      </c>
      <c r="F68" s="10" t="s">
        <v>76</v>
      </c>
      <c r="G68" s="10" t="s">
        <v>77</v>
      </c>
      <c r="H68" s="10" t="s">
        <v>173</v>
      </c>
      <c r="I68" s="8" t="s">
        <v>127</v>
      </c>
      <c r="J68" s="10" t="s">
        <v>414</v>
      </c>
      <c r="K68" s="8" t="s">
        <v>146</v>
      </c>
      <c r="L68" s="10" t="s">
        <v>92</v>
      </c>
      <c r="M68" s="8" t="s">
        <v>82</v>
      </c>
      <c r="N68" s="10" t="s">
        <v>415</v>
      </c>
      <c r="O68" s="11" t="s">
        <v>416</v>
      </c>
      <c r="P68" s="8" t="s">
        <v>417</v>
      </c>
      <c r="Q68" s="10"/>
      <c r="R68" s="10" t="s">
        <v>87</v>
      </c>
      <c r="S68" s="10"/>
    </row>
    <row r="69" customFormat="false" ht="57.45" hidden="false" customHeight="false" outlineLevel="0" collapsed="false">
      <c r="A69" s="8" t="s">
        <v>418</v>
      </c>
      <c r="B69" s="8" t="s">
        <v>419</v>
      </c>
      <c r="C69" s="8" t="s">
        <v>74</v>
      </c>
      <c r="D69" s="8" t="s">
        <v>413</v>
      </c>
      <c r="E69" s="9" t="n">
        <f aca="false">IF(C69="inhibition",-1,1)</f>
        <v>1</v>
      </c>
      <c r="F69" s="10" t="s">
        <v>76</v>
      </c>
      <c r="G69" s="10" t="s">
        <v>77</v>
      </c>
      <c r="H69" s="10" t="s">
        <v>90</v>
      </c>
      <c r="I69" s="8" t="s">
        <v>79</v>
      </c>
      <c r="J69" s="10" t="s">
        <v>98</v>
      </c>
      <c r="K69" s="8" t="s">
        <v>99</v>
      </c>
      <c r="L69" s="10" t="s">
        <v>92</v>
      </c>
      <c r="M69" s="8" t="s">
        <v>82</v>
      </c>
      <c r="N69" s="10" t="s">
        <v>420</v>
      </c>
      <c r="O69" s="11" t="s">
        <v>421</v>
      </c>
      <c r="P69" s="8" t="s">
        <v>422</v>
      </c>
      <c r="Q69" s="10"/>
      <c r="R69" s="10" t="s">
        <v>87</v>
      </c>
      <c r="S69" s="10"/>
    </row>
    <row r="70" customFormat="false" ht="35.05" hidden="false" customHeight="false" outlineLevel="0" collapsed="false">
      <c r="A70" s="8" t="s">
        <v>423</v>
      </c>
      <c r="B70" s="8" t="s">
        <v>377</v>
      </c>
      <c r="C70" s="8" t="s">
        <v>74</v>
      </c>
      <c r="D70" s="8" t="s">
        <v>413</v>
      </c>
      <c r="E70" s="9" t="n">
        <f aca="false">IF(C70="inhibition",-1,1)</f>
        <v>1</v>
      </c>
      <c r="F70" s="10" t="s">
        <v>76</v>
      </c>
      <c r="G70" s="10" t="s">
        <v>77</v>
      </c>
      <c r="H70" s="10" t="s">
        <v>196</v>
      </c>
      <c r="I70" s="8" t="s">
        <v>145</v>
      </c>
      <c r="J70" s="10" t="s">
        <v>144</v>
      </c>
      <c r="K70" s="8" t="s">
        <v>146</v>
      </c>
      <c r="L70" s="10" t="s">
        <v>144</v>
      </c>
      <c r="M70" s="8" t="s">
        <v>144</v>
      </c>
      <c r="N70" s="10" t="s">
        <v>424</v>
      </c>
      <c r="O70" s="11" t="s">
        <v>425</v>
      </c>
      <c r="P70" s="8" t="s">
        <v>426</v>
      </c>
      <c r="Q70" s="10"/>
      <c r="R70" s="10" t="s">
        <v>87</v>
      </c>
      <c r="S70" s="10"/>
    </row>
    <row r="71" customFormat="false" ht="35.05" hidden="false" customHeight="false" outlineLevel="0" collapsed="false">
      <c r="A71" s="8" t="s">
        <v>427</v>
      </c>
      <c r="B71" s="8" t="s">
        <v>89</v>
      </c>
      <c r="C71" s="8" t="s">
        <v>134</v>
      </c>
      <c r="D71" s="8" t="s">
        <v>413</v>
      </c>
      <c r="E71" s="9" t="n">
        <f aca="false">IF(C71="inhibition",-1,1)</f>
        <v>-1</v>
      </c>
      <c r="F71" s="10" t="s">
        <v>76</v>
      </c>
      <c r="G71" s="10" t="s">
        <v>77</v>
      </c>
      <c r="H71" s="10" t="s">
        <v>90</v>
      </c>
      <c r="I71" s="8" t="s">
        <v>79</v>
      </c>
      <c r="J71" s="10" t="s">
        <v>378</v>
      </c>
      <c r="K71" s="8" t="s">
        <v>99</v>
      </c>
      <c r="L71" s="10" t="s">
        <v>92</v>
      </c>
      <c r="M71" s="8" t="s">
        <v>82</v>
      </c>
      <c r="N71" s="10" t="s">
        <v>428</v>
      </c>
      <c r="O71" s="11" t="s">
        <v>429</v>
      </c>
      <c r="P71" s="8"/>
      <c r="Q71" s="10"/>
      <c r="R71" s="10" t="s">
        <v>87</v>
      </c>
      <c r="S71" s="10"/>
    </row>
    <row r="72" customFormat="false" ht="57.45" hidden="false" customHeight="false" outlineLevel="0" collapsed="false">
      <c r="A72" s="8" t="s">
        <v>430</v>
      </c>
      <c r="B72" s="8" t="s">
        <v>97</v>
      </c>
      <c r="C72" s="8" t="s">
        <v>134</v>
      </c>
      <c r="D72" s="8" t="s">
        <v>413</v>
      </c>
      <c r="E72" s="9" t="n">
        <f aca="false">IF(C72="inhibition",-1,1)</f>
        <v>-1</v>
      </c>
      <c r="F72" s="10" t="s">
        <v>76</v>
      </c>
      <c r="G72" s="10" t="s">
        <v>77</v>
      </c>
      <c r="H72" s="10" t="s">
        <v>208</v>
      </c>
      <c r="I72" s="8" t="s">
        <v>127</v>
      </c>
      <c r="J72" s="10" t="s">
        <v>408</v>
      </c>
      <c r="K72" s="8" t="s">
        <v>99</v>
      </c>
      <c r="L72" s="10" t="s">
        <v>92</v>
      </c>
      <c r="M72" s="8" t="s">
        <v>82</v>
      </c>
      <c r="N72" s="10" t="s">
        <v>409</v>
      </c>
      <c r="O72" s="11" t="s">
        <v>410</v>
      </c>
      <c r="P72" s="8" t="s">
        <v>411</v>
      </c>
      <c r="Q72" s="10"/>
      <c r="R72" s="10" t="s">
        <v>87</v>
      </c>
      <c r="S72" s="10"/>
    </row>
    <row r="73" customFormat="false" ht="57.45" hidden="false" customHeight="false" outlineLevel="0" collapsed="false">
      <c r="A73" s="8" t="s">
        <v>431</v>
      </c>
      <c r="B73" s="8" t="s">
        <v>73</v>
      </c>
      <c r="C73" s="8" t="s">
        <v>74</v>
      </c>
      <c r="D73" s="8" t="s">
        <v>432</v>
      </c>
      <c r="E73" s="9" t="n">
        <f aca="false">IF(C73="inhibition",-1,1)</f>
        <v>1</v>
      </c>
      <c r="F73" s="10" t="s">
        <v>76</v>
      </c>
      <c r="G73" s="10" t="s">
        <v>77</v>
      </c>
      <c r="H73" s="10" t="s">
        <v>78</v>
      </c>
      <c r="I73" s="8" t="s">
        <v>79</v>
      </c>
      <c r="J73" s="10" t="s">
        <v>80</v>
      </c>
      <c r="K73" s="8" t="s">
        <v>81</v>
      </c>
      <c r="L73" s="10" t="s">
        <v>82</v>
      </c>
      <c r="M73" s="8" t="s">
        <v>82</v>
      </c>
      <c r="N73" s="10" t="s">
        <v>83</v>
      </c>
      <c r="O73" s="11" t="s">
        <v>84</v>
      </c>
      <c r="P73" s="8" t="s">
        <v>85</v>
      </c>
      <c r="Q73" s="10" t="s">
        <v>433</v>
      </c>
      <c r="R73" s="10" t="s">
        <v>87</v>
      </c>
      <c r="S73" s="10"/>
    </row>
    <row r="74" customFormat="false" ht="46.25" hidden="false" customHeight="false" outlineLevel="0" collapsed="false">
      <c r="A74" s="8" t="s">
        <v>434</v>
      </c>
      <c r="B74" s="8" t="s">
        <v>89</v>
      </c>
      <c r="C74" s="8" t="s">
        <v>74</v>
      </c>
      <c r="D74" s="8" t="s">
        <v>432</v>
      </c>
      <c r="E74" s="9" t="n">
        <f aca="false">IF(C74="inhibition",-1,1)</f>
        <v>1</v>
      </c>
      <c r="F74" s="10" t="s">
        <v>76</v>
      </c>
      <c r="G74" s="10" t="s">
        <v>77</v>
      </c>
      <c r="H74" s="10" t="s">
        <v>90</v>
      </c>
      <c r="I74" s="8" t="s">
        <v>79</v>
      </c>
      <c r="J74" s="10" t="s">
        <v>91</v>
      </c>
      <c r="K74" s="8" t="s">
        <v>81</v>
      </c>
      <c r="L74" s="10" t="s">
        <v>92</v>
      </c>
      <c r="M74" s="8" t="s">
        <v>82</v>
      </c>
      <c r="N74" s="10" t="s">
        <v>93</v>
      </c>
      <c r="O74" s="11" t="s">
        <v>94</v>
      </c>
      <c r="P74" s="8" t="s">
        <v>95</v>
      </c>
      <c r="Q74" s="10"/>
      <c r="R74" s="10" t="s">
        <v>87</v>
      </c>
      <c r="S74" s="10"/>
    </row>
    <row r="75" customFormat="false" ht="57.45" hidden="false" customHeight="false" outlineLevel="0" collapsed="false">
      <c r="A75" s="8" t="s">
        <v>435</v>
      </c>
      <c r="B75" s="8" t="s">
        <v>97</v>
      </c>
      <c r="C75" s="8" t="s">
        <v>74</v>
      </c>
      <c r="D75" s="8" t="s">
        <v>432</v>
      </c>
      <c r="E75" s="9" t="n">
        <f aca="false">IF(C75="inhibition",-1,1)</f>
        <v>1</v>
      </c>
      <c r="F75" s="10" t="s">
        <v>76</v>
      </c>
      <c r="G75" s="10" t="s">
        <v>77</v>
      </c>
      <c r="H75" s="10" t="s">
        <v>436</v>
      </c>
      <c r="I75" s="8" t="s">
        <v>79</v>
      </c>
      <c r="J75" s="10" t="s">
        <v>408</v>
      </c>
      <c r="K75" s="8" t="s">
        <v>99</v>
      </c>
      <c r="L75" s="10" t="s">
        <v>437</v>
      </c>
      <c r="M75" s="8" t="s">
        <v>438</v>
      </c>
      <c r="N75" s="10" t="s">
        <v>439</v>
      </c>
      <c r="O75" s="11" t="s">
        <v>440</v>
      </c>
      <c r="P75" s="8" t="s">
        <v>441</v>
      </c>
      <c r="Q75" s="10"/>
      <c r="R75" s="10" t="s">
        <v>87</v>
      </c>
      <c r="S75" s="10"/>
    </row>
    <row r="76" customFormat="false" ht="46.25" hidden="false" customHeight="false" outlineLevel="0" collapsed="false">
      <c r="A76" s="8" t="s">
        <v>442</v>
      </c>
      <c r="B76" s="8" t="s">
        <v>227</v>
      </c>
      <c r="C76" s="8" t="s">
        <v>74</v>
      </c>
      <c r="D76" s="8" t="s">
        <v>432</v>
      </c>
      <c r="E76" s="9" t="n">
        <f aca="false">IF(C76="inhibition",-1,1)</f>
        <v>1</v>
      </c>
      <c r="F76" s="10" t="s">
        <v>76</v>
      </c>
      <c r="G76" s="10" t="s">
        <v>77</v>
      </c>
      <c r="H76" s="10" t="s">
        <v>90</v>
      </c>
      <c r="I76" s="8" t="s">
        <v>79</v>
      </c>
      <c r="J76" s="10" t="s">
        <v>378</v>
      </c>
      <c r="K76" s="8" t="s">
        <v>99</v>
      </c>
      <c r="L76" s="10" t="s">
        <v>92</v>
      </c>
      <c r="M76" s="8" t="s">
        <v>82</v>
      </c>
      <c r="N76" s="10" t="s">
        <v>443</v>
      </c>
      <c r="O76" s="11" t="s">
        <v>444</v>
      </c>
      <c r="P76" s="8" t="s">
        <v>445</v>
      </c>
      <c r="Q76" s="10"/>
      <c r="R76" s="10" t="s">
        <v>87</v>
      </c>
      <c r="S76" s="10"/>
    </row>
    <row r="77" customFormat="false" ht="35.05" hidden="false" customHeight="false" outlineLevel="0" collapsed="false">
      <c r="A77" s="8" t="s">
        <v>446</v>
      </c>
      <c r="B77" s="8" t="s">
        <v>201</v>
      </c>
      <c r="C77" s="8" t="s">
        <v>74</v>
      </c>
      <c r="D77" s="8" t="s">
        <v>447</v>
      </c>
      <c r="E77" s="9" t="n">
        <f aca="false">IF(C77="inhibition",-1,1)</f>
        <v>1</v>
      </c>
      <c r="F77" s="10" t="s">
        <v>76</v>
      </c>
      <c r="G77" s="10" t="s">
        <v>138</v>
      </c>
      <c r="H77" s="10" t="s">
        <v>90</v>
      </c>
      <c r="I77" s="8" t="s">
        <v>79</v>
      </c>
      <c r="J77" s="10" t="s">
        <v>108</v>
      </c>
      <c r="K77" s="8" t="s">
        <v>81</v>
      </c>
      <c r="L77" s="10" t="s">
        <v>92</v>
      </c>
      <c r="M77" s="8" t="s">
        <v>82</v>
      </c>
      <c r="N77" s="10" t="s">
        <v>448</v>
      </c>
      <c r="O77" s="11" t="s">
        <v>117</v>
      </c>
      <c r="P77" s="8"/>
      <c r="Q77" s="10"/>
      <c r="R77" s="10" t="s">
        <v>87</v>
      </c>
      <c r="S77" s="10"/>
    </row>
    <row r="78" customFormat="false" ht="46.25" hidden="false" customHeight="false" outlineLevel="0" collapsed="false">
      <c r="A78" s="8" t="s">
        <v>449</v>
      </c>
      <c r="B78" s="8" t="s">
        <v>120</v>
      </c>
      <c r="C78" s="8" t="s">
        <v>74</v>
      </c>
      <c r="D78" s="8" t="s">
        <v>447</v>
      </c>
      <c r="E78" s="9" t="n">
        <f aca="false">IF(C78="inhibition",-1,1)</f>
        <v>1</v>
      </c>
      <c r="F78" s="10" t="s">
        <v>76</v>
      </c>
      <c r="G78" s="10" t="s">
        <v>138</v>
      </c>
      <c r="H78" s="10" t="s">
        <v>90</v>
      </c>
      <c r="I78" s="8" t="s">
        <v>79</v>
      </c>
      <c r="J78" s="10" t="s">
        <v>81</v>
      </c>
      <c r="K78" s="8" t="s">
        <v>81</v>
      </c>
      <c r="L78" s="10" t="s">
        <v>100</v>
      </c>
      <c r="M78" s="8" t="s">
        <v>82</v>
      </c>
      <c r="N78" s="10" t="s">
        <v>450</v>
      </c>
      <c r="O78" s="8"/>
      <c r="P78" s="8"/>
      <c r="Q78" s="10"/>
      <c r="R78" s="10" t="s">
        <v>198</v>
      </c>
      <c r="S78" s="10"/>
    </row>
    <row r="79" customFormat="false" ht="35.05" hidden="false" customHeight="false" outlineLevel="0" collapsed="false">
      <c r="A79" s="8" t="s">
        <v>451</v>
      </c>
      <c r="B79" s="8" t="s">
        <v>452</v>
      </c>
      <c r="C79" s="8" t="s">
        <v>74</v>
      </c>
      <c r="D79" s="8" t="s">
        <v>447</v>
      </c>
      <c r="E79" s="9" t="n">
        <f aca="false">IF(C79="inhibition",-1,1)</f>
        <v>1</v>
      </c>
      <c r="F79" s="10" t="s">
        <v>76</v>
      </c>
      <c r="G79" s="10" t="s">
        <v>138</v>
      </c>
      <c r="H79" s="10" t="s">
        <v>144</v>
      </c>
      <c r="I79" s="8" t="s">
        <v>145</v>
      </c>
      <c r="J79" s="10" t="s">
        <v>144</v>
      </c>
      <c r="K79" s="8" t="s">
        <v>146</v>
      </c>
      <c r="L79" s="10" t="s">
        <v>144</v>
      </c>
      <c r="M79" s="8" t="s">
        <v>144</v>
      </c>
      <c r="N79" s="10" t="s">
        <v>453</v>
      </c>
      <c r="O79" s="11" t="s">
        <v>454</v>
      </c>
      <c r="P79" s="8" t="s">
        <v>455</v>
      </c>
      <c r="Q79" s="10"/>
      <c r="R79" s="10" t="s">
        <v>87</v>
      </c>
      <c r="S79" s="10"/>
    </row>
    <row r="80" customFormat="false" ht="46.25" hidden="false" customHeight="false" outlineLevel="0" collapsed="false">
      <c r="A80" s="8" t="s">
        <v>456</v>
      </c>
      <c r="B80" s="8" t="s">
        <v>327</v>
      </c>
      <c r="C80" s="8" t="s">
        <v>74</v>
      </c>
      <c r="D80" s="8" t="s">
        <v>193</v>
      </c>
      <c r="E80" s="9" t="n">
        <f aca="false">IF(C80="inhibition",-1,1)</f>
        <v>1</v>
      </c>
      <c r="F80" s="10" t="s">
        <v>166</v>
      </c>
      <c r="G80" s="10" t="s">
        <v>76</v>
      </c>
      <c r="H80" s="10" t="s">
        <v>196</v>
      </c>
      <c r="I80" s="8" t="s">
        <v>145</v>
      </c>
      <c r="J80" s="10" t="s">
        <v>144</v>
      </c>
      <c r="K80" s="8" t="s">
        <v>146</v>
      </c>
      <c r="L80" s="10" t="s">
        <v>144</v>
      </c>
      <c r="M80" s="8" t="s">
        <v>144</v>
      </c>
      <c r="N80" s="10" t="s">
        <v>457</v>
      </c>
      <c r="O80" s="11" t="s">
        <v>458</v>
      </c>
      <c r="P80" s="8" t="s">
        <v>459</v>
      </c>
      <c r="Q80" s="10"/>
      <c r="R80" s="10" t="s">
        <v>87</v>
      </c>
      <c r="S80" s="10"/>
    </row>
    <row r="81" customFormat="false" ht="57.45" hidden="false" customHeight="false" outlineLevel="0" collapsed="false">
      <c r="A81" s="8" t="s">
        <v>460</v>
      </c>
      <c r="B81" s="8" t="s">
        <v>200</v>
      </c>
      <c r="C81" s="8" t="s">
        <v>74</v>
      </c>
      <c r="D81" s="8" t="s">
        <v>193</v>
      </c>
      <c r="E81" s="9" t="n">
        <f aca="false">IF(C81="inhibition",-1,1)</f>
        <v>1</v>
      </c>
      <c r="F81" s="10" t="s">
        <v>114</v>
      </c>
      <c r="G81" s="10" t="s">
        <v>76</v>
      </c>
      <c r="H81" s="10" t="s">
        <v>90</v>
      </c>
      <c r="I81" s="8" t="s">
        <v>79</v>
      </c>
      <c r="J81" s="10" t="s">
        <v>108</v>
      </c>
      <c r="K81" s="8" t="s">
        <v>81</v>
      </c>
      <c r="L81" s="10" t="s">
        <v>92</v>
      </c>
      <c r="M81" s="8" t="s">
        <v>82</v>
      </c>
      <c r="N81" s="10" t="s">
        <v>461</v>
      </c>
      <c r="O81" s="11" t="s">
        <v>462</v>
      </c>
      <c r="P81" s="8" t="s">
        <v>463</v>
      </c>
      <c r="Q81" s="10"/>
      <c r="R81" s="10" t="s">
        <v>87</v>
      </c>
      <c r="S81" s="10"/>
    </row>
    <row r="82" customFormat="false" ht="57.45" hidden="false" customHeight="false" outlineLevel="0" collapsed="false">
      <c r="A82" s="8" t="s">
        <v>464</v>
      </c>
      <c r="B82" s="8" t="s">
        <v>465</v>
      </c>
      <c r="C82" s="8" t="s">
        <v>74</v>
      </c>
      <c r="D82" s="8" t="s">
        <v>193</v>
      </c>
      <c r="E82" s="9" t="n">
        <f aca="false">IF(C82="inhibition",-1,1)</f>
        <v>1</v>
      </c>
      <c r="F82" s="10" t="s">
        <v>114</v>
      </c>
      <c r="G82" s="10" t="s">
        <v>76</v>
      </c>
      <c r="H82" s="10" t="s">
        <v>90</v>
      </c>
      <c r="I82" s="8" t="s">
        <v>79</v>
      </c>
      <c r="J82" s="10" t="s">
        <v>108</v>
      </c>
      <c r="K82" s="8" t="s">
        <v>81</v>
      </c>
      <c r="L82" s="10" t="s">
        <v>92</v>
      </c>
      <c r="M82" s="8" t="s">
        <v>82</v>
      </c>
      <c r="N82" s="10" t="s">
        <v>461</v>
      </c>
      <c r="O82" s="11" t="s">
        <v>462</v>
      </c>
      <c r="P82" s="8" t="s">
        <v>463</v>
      </c>
      <c r="Q82" s="10"/>
      <c r="R82" s="10" t="s">
        <v>87</v>
      </c>
      <c r="S82" s="10"/>
    </row>
    <row r="83" customFormat="false" ht="57.45" hidden="false" customHeight="false" outlineLevel="0" collapsed="false">
      <c r="A83" s="8" t="s">
        <v>466</v>
      </c>
      <c r="B83" s="8" t="s">
        <v>467</v>
      </c>
      <c r="C83" s="8" t="s">
        <v>74</v>
      </c>
      <c r="D83" s="8" t="s">
        <v>193</v>
      </c>
      <c r="E83" s="9" t="n">
        <f aca="false">IF(C83="inhibition",-1,1)</f>
        <v>1</v>
      </c>
      <c r="F83" s="10" t="s">
        <v>114</v>
      </c>
      <c r="G83" s="10" t="s">
        <v>76</v>
      </c>
      <c r="H83" s="10" t="s">
        <v>290</v>
      </c>
      <c r="I83" s="8" t="s">
        <v>145</v>
      </c>
      <c r="J83" s="10" t="s">
        <v>144</v>
      </c>
      <c r="K83" s="8" t="s">
        <v>146</v>
      </c>
      <c r="L83" s="10" t="s">
        <v>144</v>
      </c>
      <c r="M83" s="8" t="s">
        <v>144</v>
      </c>
      <c r="N83" s="10" t="s">
        <v>468</v>
      </c>
      <c r="O83" s="11" t="s">
        <v>469</v>
      </c>
      <c r="P83" s="8" t="s">
        <v>470</v>
      </c>
      <c r="Q83" s="10"/>
      <c r="R83" s="10" t="s">
        <v>87</v>
      </c>
      <c r="S83" s="10"/>
    </row>
    <row r="84" customFormat="false" ht="35.05" hidden="false" customHeight="false" outlineLevel="0" collapsed="false">
      <c r="A84" s="8" t="s">
        <v>471</v>
      </c>
      <c r="B84" s="8" t="s">
        <v>472</v>
      </c>
      <c r="C84" s="8" t="s">
        <v>134</v>
      </c>
      <c r="D84" s="8" t="s">
        <v>193</v>
      </c>
      <c r="E84" s="9" t="n">
        <f aca="false">IF(C84="inhibition",-1,1)</f>
        <v>-1</v>
      </c>
      <c r="F84" s="10" t="s">
        <v>138</v>
      </c>
      <c r="G84" s="10" t="s">
        <v>76</v>
      </c>
      <c r="H84" s="10" t="s">
        <v>144</v>
      </c>
      <c r="I84" s="8" t="s">
        <v>145</v>
      </c>
      <c r="J84" s="10" t="s">
        <v>144</v>
      </c>
      <c r="K84" s="8" t="s">
        <v>146</v>
      </c>
      <c r="L84" s="10" t="s">
        <v>144</v>
      </c>
      <c r="M84" s="8" t="s">
        <v>144</v>
      </c>
      <c r="N84" s="10" t="s">
        <v>473</v>
      </c>
      <c r="O84" s="11" t="s">
        <v>474</v>
      </c>
      <c r="P84" s="8" t="s">
        <v>475</v>
      </c>
      <c r="Q84" s="10"/>
      <c r="R84" s="10" t="s">
        <v>87</v>
      </c>
      <c r="S84" s="10"/>
    </row>
    <row r="85" customFormat="false" ht="68.65" hidden="false" customHeight="false" outlineLevel="0" collapsed="false">
      <c r="A85" s="8" t="s">
        <v>476</v>
      </c>
      <c r="B85" s="8" t="s">
        <v>201</v>
      </c>
      <c r="C85" s="8" t="s">
        <v>74</v>
      </c>
      <c r="D85" s="8" t="s">
        <v>477</v>
      </c>
      <c r="E85" s="9" t="n">
        <f aca="false">IF(C85="inhibition",-1,1)</f>
        <v>1</v>
      </c>
      <c r="F85" s="10" t="s">
        <v>76</v>
      </c>
      <c r="G85" s="10" t="s">
        <v>107</v>
      </c>
      <c r="H85" s="10" t="s">
        <v>196</v>
      </c>
      <c r="I85" s="8" t="s">
        <v>145</v>
      </c>
      <c r="J85" s="10" t="s">
        <v>144</v>
      </c>
      <c r="K85" s="8" t="s">
        <v>146</v>
      </c>
      <c r="L85" s="10" t="s">
        <v>144</v>
      </c>
      <c r="M85" s="8" t="s">
        <v>144</v>
      </c>
      <c r="N85" s="10" t="s">
        <v>478</v>
      </c>
      <c r="O85" s="11" t="s">
        <v>479</v>
      </c>
      <c r="P85" s="8" t="s">
        <v>480</v>
      </c>
      <c r="Q85" s="10"/>
      <c r="R85" s="10" t="s">
        <v>481</v>
      </c>
      <c r="S85" s="10"/>
    </row>
    <row r="86" customFormat="false" ht="46.25" hidden="false" customHeight="false" outlineLevel="0" collapsed="false">
      <c r="A86" s="8" t="s">
        <v>482</v>
      </c>
      <c r="B86" s="8" t="s">
        <v>120</v>
      </c>
      <c r="C86" s="8" t="s">
        <v>74</v>
      </c>
      <c r="D86" s="8" t="s">
        <v>477</v>
      </c>
      <c r="E86" s="9" t="n">
        <f aca="false">IF(C86="inhibition",-1,1)</f>
        <v>1</v>
      </c>
      <c r="F86" s="10" t="s">
        <v>76</v>
      </c>
      <c r="G86" s="10" t="s">
        <v>107</v>
      </c>
      <c r="H86" s="10" t="s">
        <v>173</v>
      </c>
      <c r="I86" s="8" t="s">
        <v>127</v>
      </c>
      <c r="J86" s="10" t="s">
        <v>108</v>
      </c>
      <c r="K86" s="8" t="s">
        <v>81</v>
      </c>
      <c r="L86" s="10" t="s">
        <v>284</v>
      </c>
      <c r="M86" s="8" t="s">
        <v>216</v>
      </c>
      <c r="N86" s="10" t="s">
        <v>285</v>
      </c>
      <c r="O86" s="11" t="s">
        <v>286</v>
      </c>
      <c r="P86" s="8" t="s">
        <v>287</v>
      </c>
      <c r="Q86" s="10"/>
      <c r="R86" s="10" t="s">
        <v>87</v>
      </c>
      <c r="S86" s="10"/>
    </row>
    <row r="87" customFormat="false" ht="68.65" hidden="false" customHeight="false" outlineLevel="0" collapsed="false">
      <c r="A87" s="8" t="s">
        <v>483</v>
      </c>
      <c r="B87" s="8" t="s">
        <v>201</v>
      </c>
      <c r="C87" s="8" t="s">
        <v>74</v>
      </c>
      <c r="D87" s="8" t="s">
        <v>484</v>
      </c>
      <c r="E87" s="9" t="n">
        <f aca="false">IF(C87="inhibition",-1,1)</f>
        <v>1</v>
      </c>
      <c r="F87" s="10" t="s">
        <v>76</v>
      </c>
      <c r="G87" s="10" t="s">
        <v>107</v>
      </c>
      <c r="H87" s="10" t="s">
        <v>196</v>
      </c>
      <c r="I87" s="8" t="s">
        <v>145</v>
      </c>
      <c r="J87" s="10" t="s">
        <v>144</v>
      </c>
      <c r="K87" s="8" t="s">
        <v>146</v>
      </c>
      <c r="L87" s="10" t="s">
        <v>144</v>
      </c>
      <c r="M87" s="8" t="s">
        <v>144</v>
      </c>
      <c r="N87" s="10" t="s">
        <v>478</v>
      </c>
      <c r="O87" s="11" t="s">
        <v>479</v>
      </c>
      <c r="P87" s="8" t="s">
        <v>480</v>
      </c>
      <c r="Q87" s="10"/>
      <c r="R87" s="10" t="s">
        <v>481</v>
      </c>
      <c r="S87" s="10"/>
    </row>
    <row r="88" customFormat="false" ht="46.25" hidden="false" customHeight="false" outlineLevel="0" collapsed="false">
      <c r="A88" s="8" t="s">
        <v>485</v>
      </c>
      <c r="B88" s="8" t="s">
        <v>120</v>
      </c>
      <c r="C88" s="8" t="s">
        <v>74</v>
      </c>
      <c r="D88" s="8" t="s">
        <v>484</v>
      </c>
      <c r="E88" s="9" t="n">
        <f aca="false">IF(C88="inhibition",-1,1)</f>
        <v>1</v>
      </c>
      <c r="F88" s="10" t="s">
        <v>76</v>
      </c>
      <c r="G88" s="10" t="s">
        <v>107</v>
      </c>
      <c r="H88" s="10" t="s">
        <v>173</v>
      </c>
      <c r="I88" s="8" t="s">
        <v>127</v>
      </c>
      <c r="J88" s="10" t="s">
        <v>108</v>
      </c>
      <c r="K88" s="8" t="s">
        <v>81</v>
      </c>
      <c r="L88" s="10" t="s">
        <v>284</v>
      </c>
      <c r="M88" s="8" t="s">
        <v>216</v>
      </c>
      <c r="N88" s="10" t="s">
        <v>285</v>
      </c>
      <c r="O88" s="11" t="s">
        <v>286</v>
      </c>
      <c r="P88" s="8" t="s">
        <v>287</v>
      </c>
      <c r="Q88" s="10"/>
      <c r="R88" s="10" t="s">
        <v>87</v>
      </c>
      <c r="S88" s="10"/>
    </row>
    <row r="89" customFormat="false" ht="35.05" hidden="false" customHeight="false" outlineLevel="0" collapsed="false">
      <c r="A89" s="8" t="s">
        <v>486</v>
      </c>
      <c r="B89" s="8" t="s">
        <v>487</v>
      </c>
      <c r="C89" s="8" t="s">
        <v>74</v>
      </c>
      <c r="D89" s="8" t="s">
        <v>488</v>
      </c>
      <c r="E89" s="9" t="n">
        <f aca="false">IF(C89="inhibition",-1,1)</f>
        <v>1</v>
      </c>
      <c r="F89" s="10" t="s">
        <v>166</v>
      </c>
      <c r="G89" s="10" t="s">
        <v>195</v>
      </c>
      <c r="H89" s="10" t="s">
        <v>144</v>
      </c>
      <c r="I89" s="8" t="s">
        <v>145</v>
      </c>
      <c r="J89" s="10" t="s">
        <v>144</v>
      </c>
      <c r="K89" s="8" t="s">
        <v>146</v>
      </c>
      <c r="L89" s="10" t="s">
        <v>144</v>
      </c>
      <c r="M89" s="8" t="s">
        <v>144</v>
      </c>
      <c r="N89" s="10" t="s">
        <v>489</v>
      </c>
      <c r="O89" s="11" t="s">
        <v>490</v>
      </c>
      <c r="P89" s="8" t="s">
        <v>491</v>
      </c>
      <c r="Q89" s="10"/>
      <c r="R89" s="10" t="s">
        <v>87</v>
      </c>
      <c r="S89" s="10"/>
    </row>
    <row r="90" customFormat="false" ht="57.45" hidden="false" customHeight="false" outlineLevel="0" collapsed="false">
      <c r="A90" s="8" t="s">
        <v>492</v>
      </c>
      <c r="B90" s="8" t="s">
        <v>331</v>
      </c>
      <c r="C90" s="8" t="s">
        <v>74</v>
      </c>
      <c r="D90" s="8" t="s">
        <v>493</v>
      </c>
      <c r="E90" s="9" t="n">
        <f aca="false">IF(C90="inhibition",-1,1)</f>
        <v>1</v>
      </c>
      <c r="F90" s="10" t="s">
        <v>166</v>
      </c>
      <c r="G90" s="10" t="s">
        <v>255</v>
      </c>
      <c r="H90" s="10" t="s">
        <v>196</v>
      </c>
      <c r="I90" s="8" t="s">
        <v>145</v>
      </c>
      <c r="J90" s="10" t="s">
        <v>144</v>
      </c>
      <c r="K90" s="8" t="s">
        <v>146</v>
      </c>
      <c r="L90" s="10" t="s">
        <v>144</v>
      </c>
      <c r="M90" s="8" t="s">
        <v>144</v>
      </c>
      <c r="N90" s="10" t="s">
        <v>494</v>
      </c>
      <c r="O90" s="11" t="s">
        <v>495</v>
      </c>
      <c r="P90" s="8" t="s">
        <v>496</v>
      </c>
      <c r="Q90" s="10"/>
      <c r="R90" s="10" t="s">
        <v>87</v>
      </c>
      <c r="S90" s="10"/>
    </row>
    <row r="91" customFormat="false" ht="46.25" hidden="false" customHeight="false" outlineLevel="0" collapsed="false">
      <c r="A91" s="8" t="s">
        <v>497</v>
      </c>
      <c r="B91" s="8" t="s">
        <v>179</v>
      </c>
      <c r="C91" s="8" t="s">
        <v>74</v>
      </c>
      <c r="D91" s="8" t="s">
        <v>493</v>
      </c>
      <c r="E91" s="9" t="n">
        <f aca="false">IF(C91="inhibition",-1,1)</f>
        <v>1</v>
      </c>
      <c r="F91" s="10" t="s">
        <v>180</v>
      </c>
      <c r="G91" s="10" t="s">
        <v>255</v>
      </c>
      <c r="H91" s="10" t="s">
        <v>78</v>
      </c>
      <c r="I91" s="8" t="s">
        <v>79</v>
      </c>
      <c r="J91" s="10" t="s">
        <v>498</v>
      </c>
      <c r="K91" s="8" t="s">
        <v>81</v>
      </c>
      <c r="L91" s="10" t="s">
        <v>499</v>
      </c>
      <c r="M91" s="8" t="s">
        <v>216</v>
      </c>
      <c r="N91" s="10" t="s">
        <v>500</v>
      </c>
      <c r="O91" s="11" t="s">
        <v>501</v>
      </c>
      <c r="P91" s="8" t="s">
        <v>502</v>
      </c>
      <c r="Q91" s="10" t="s">
        <v>503</v>
      </c>
      <c r="R91" s="10" t="s">
        <v>87</v>
      </c>
      <c r="S91" s="10"/>
    </row>
    <row r="92" customFormat="false" ht="46.25" hidden="false" customHeight="false" outlineLevel="0" collapsed="false">
      <c r="A92" s="8" t="s">
        <v>504</v>
      </c>
      <c r="B92" s="8" t="s">
        <v>200</v>
      </c>
      <c r="C92" s="8" t="s">
        <v>74</v>
      </c>
      <c r="D92" s="8" t="s">
        <v>505</v>
      </c>
      <c r="E92" s="9" t="n">
        <f aca="false">IF(C92="inhibition",-1,1)</f>
        <v>1</v>
      </c>
      <c r="F92" s="10" t="s">
        <v>114</v>
      </c>
      <c r="G92" s="10" t="s">
        <v>76</v>
      </c>
      <c r="H92" s="10" t="s">
        <v>90</v>
      </c>
      <c r="I92" s="8" t="s">
        <v>79</v>
      </c>
      <c r="J92" s="10" t="s">
        <v>98</v>
      </c>
      <c r="K92" s="8" t="s">
        <v>99</v>
      </c>
      <c r="L92" s="10" t="s">
        <v>92</v>
      </c>
      <c r="M92" s="8" t="s">
        <v>82</v>
      </c>
      <c r="N92" s="10" t="s">
        <v>506</v>
      </c>
      <c r="O92" s="11" t="s">
        <v>507</v>
      </c>
      <c r="P92" s="8" t="s">
        <v>508</v>
      </c>
      <c r="Q92" s="10"/>
      <c r="R92" s="10" t="s">
        <v>87</v>
      </c>
      <c r="S92" s="10" t="s">
        <v>509</v>
      </c>
    </row>
    <row r="93" customFormat="false" ht="46.25" hidden="false" customHeight="false" outlineLevel="0" collapsed="false">
      <c r="A93" s="8" t="s">
        <v>510</v>
      </c>
      <c r="B93" s="8" t="s">
        <v>511</v>
      </c>
      <c r="C93" s="8" t="s">
        <v>74</v>
      </c>
      <c r="D93" s="8" t="s">
        <v>505</v>
      </c>
      <c r="E93" s="9" t="n">
        <f aca="false">IF(C93="inhibition",-1,1)</f>
        <v>1</v>
      </c>
      <c r="F93" s="10" t="s">
        <v>195</v>
      </c>
      <c r="G93" s="10" t="s">
        <v>76</v>
      </c>
      <c r="H93" s="10" t="s">
        <v>512</v>
      </c>
      <c r="I93" s="8" t="s">
        <v>145</v>
      </c>
      <c r="J93" s="10" t="s">
        <v>513</v>
      </c>
      <c r="K93" s="8" t="s">
        <v>146</v>
      </c>
      <c r="L93" s="10" t="s">
        <v>82</v>
      </c>
      <c r="M93" s="8" t="s">
        <v>82</v>
      </c>
      <c r="N93" s="10" t="s">
        <v>514</v>
      </c>
      <c r="O93" s="11" t="s">
        <v>515</v>
      </c>
      <c r="P93" s="8" t="s">
        <v>516</v>
      </c>
      <c r="Q93" s="10" t="s">
        <v>517</v>
      </c>
      <c r="R93" s="10" t="s">
        <v>87</v>
      </c>
      <c r="S93" s="10"/>
    </row>
    <row r="94" customFormat="false" ht="46.25" hidden="false" customHeight="false" outlineLevel="0" collapsed="false">
      <c r="A94" s="8" t="s">
        <v>518</v>
      </c>
      <c r="B94" s="8" t="s">
        <v>519</v>
      </c>
      <c r="C94" s="8" t="s">
        <v>74</v>
      </c>
      <c r="D94" s="8" t="s">
        <v>200</v>
      </c>
      <c r="E94" s="9" t="n">
        <f aca="false">IF(C94="inhibition",-1,1)</f>
        <v>1</v>
      </c>
      <c r="F94" s="10" t="s">
        <v>114</v>
      </c>
      <c r="G94" s="10" t="s">
        <v>114</v>
      </c>
      <c r="H94" s="10" t="s">
        <v>90</v>
      </c>
      <c r="I94" s="8" t="s">
        <v>79</v>
      </c>
      <c r="J94" s="10" t="s">
        <v>98</v>
      </c>
      <c r="K94" s="8" t="s">
        <v>99</v>
      </c>
      <c r="L94" s="10" t="s">
        <v>92</v>
      </c>
      <c r="M94" s="8" t="s">
        <v>82</v>
      </c>
      <c r="N94" s="10" t="s">
        <v>520</v>
      </c>
      <c r="O94" s="11" t="s">
        <v>521</v>
      </c>
      <c r="P94" s="8" t="s">
        <v>522</v>
      </c>
      <c r="Q94" s="10"/>
      <c r="R94" s="10" t="s">
        <v>87</v>
      </c>
      <c r="S94" s="10"/>
    </row>
    <row r="95" customFormat="false" ht="46.25" hidden="false" customHeight="false" outlineLevel="0" collapsed="false">
      <c r="A95" s="8" t="s">
        <v>523</v>
      </c>
      <c r="B95" s="8" t="s">
        <v>524</v>
      </c>
      <c r="C95" s="8" t="s">
        <v>74</v>
      </c>
      <c r="D95" s="8" t="s">
        <v>465</v>
      </c>
      <c r="E95" s="9" t="n">
        <f aca="false">IF(C95="inhibition",-1,1)</f>
        <v>1</v>
      </c>
      <c r="F95" s="10" t="s">
        <v>114</v>
      </c>
      <c r="G95" s="10" t="s">
        <v>114</v>
      </c>
      <c r="H95" s="10" t="s">
        <v>90</v>
      </c>
      <c r="I95" s="8" t="s">
        <v>79</v>
      </c>
      <c r="J95" s="10" t="s">
        <v>98</v>
      </c>
      <c r="K95" s="8" t="s">
        <v>99</v>
      </c>
      <c r="L95" s="10" t="s">
        <v>92</v>
      </c>
      <c r="M95" s="8" t="s">
        <v>82</v>
      </c>
      <c r="N95" s="10" t="s">
        <v>520</v>
      </c>
      <c r="O95" s="11" t="s">
        <v>521</v>
      </c>
      <c r="P95" s="8" t="s">
        <v>522</v>
      </c>
      <c r="Q95" s="10"/>
      <c r="R95" s="10" t="s">
        <v>87</v>
      </c>
      <c r="S95" s="10"/>
    </row>
    <row r="96" customFormat="false" ht="35.05" hidden="false" customHeight="false" outlineLevel="0" collapsed="false">
      <c r="A96" s="8" t="s">
        <v>525</v>
      </c>
      <c r="B96" s="8" t="s">
        <v>526</v>
      </c>
      <c r="C96" s="8" t="s">
        <v>74</v>
      </c>
      <c r="D96" s="8" t="s">
        <v>527</v>
      </c>
      <c r="E96" s="9" t="n">
        <f aca="false">IF(C96="inhibition",-1,1)</f>
        <v>1</v>
      </c>
      <c r="F96" s="10" t="s">
        <v>306</v>
      </c>
      <c r="G96" s="10" t="s">
        <v>389</v>
      </c>
      <c r="H96" s="10" t="s">
        <v>144</v>
      </c>
      <c r="I96" s="8" t="s">
        <v>145</v>
      </c>
      <c r="J96" s="10" t="s">
        <v>144</v>
      </c>
      <c r="K96" s="8" t="s">
        <v>146</v>
      </c>
      <c r="L96" s="10" t="s">
        <v>144</v>
      </c>
      <c r="M96" s="8" t="s">
        <v>144</v>
      </c>
      <c r="N96" s="10" t="s">
        <v>528</v>
      </c>
      <c r="O96" s="11" t="s">
        <v>529</v>
      </c>
      <c r="P96" s="8" t="s">
        <v>530</v>
      </c>
      <c r="Q96" s="10"/>
      <c r="R96" s="10" t="s">
        <v>87</v>
      </c>
      <c r="S96" s="10"/>
    </row>
    <row r="97" customFormat="false" ht="35.05" hidden="false" customHeight="false" outlineLevel="0" collapsed="false">
      <c r="A97" s="8" t="s">
        <v>531</v>
      </c>
      <c r="B97" s="8" t="s">
        <v>532</v>
      </c>
      <c r="C97" s="8" t="s">
        <v>74</v>
      </c>
      <c r="D97" s="8" t="s">
        <v>527</v>
      </c>
      <c r="E97" s="9" t="n">
        <f aca="false">IF(C97="inhibition",-1,1)</f>
        <v>1</v>
      </c>
      <c r="F97" s="10" t="s">
        <v>306</v>
      </c>
      <c r="G97" s="10" t="s">
        <v>389</v>
      </c>
      <c r="H97" s="10" t="s">
        <v>196</v>
      </c>
      <c r="I97" s="8" t="s">
        <v>145</v>
      </c>
      <c r="J97" s="10" t="s">
        <v>144</v>
      </c>
      <c r="K97" s="8" t="s">
        <v>146</v>
      </c>
      <c r="L97" s="10" t="s">
        <v>144</v>
      </c>
      <c r="M97" s="8" t="s">
        <v>144</v>
      </c>
      <c r="N97" s="10" t="s">
        <v>533</v>
      </c>
      <c r="O97" s="11" t="s">
        <v>534</v>
      </c>
      <c r="P97" s="8"/>
      <c r="Q97" s="10"/>
      <c r="R97" s="10" t="s">
        <v>87</v>
      </c>
      <c r="S97" s="10"/>
    </row>
    <row r="98" customFormat="false" ht="46.25" hidden="false" customHeight="false" outlineLevel="0" collapsed="false">
      <c r="A98" s="8" t="s">
        <v>535</v>
      </c>
      <c r="B98" s="8" t="s">
        <v>536</v>
      </c>
      <c r="C98" s="8" t="s">
        <v>74</v>
      </c>
      <c r="D98" s="8" t="s">
        <v>527</v>
      </c>
      <c r="E98" s="9" t="n">
        <f aca="false">IF(C98="inhibition",-1,1)</f>
        <v>1</v>
      </c>
      <c r="F98" s="10" t="s">
        <v>306</v>
      </c>
      <c r="G98" s="10" t="s">
        <v>389</v>
      </c>
      <c r="H98" s="10" t="s">
        <v>537</v>
      </c>
      <c r="I98" s="8" t="s">
        <v>145</v>
      </c>
      <c r="J98" s="10" t="s">
        <v>144</v>
      </c>
      <c r="K98" s="8" t="s">
        <v>146</v>
      </c>
      <c r="L98" s="10" t="s">
        <v>144</v>
      </c>
      <c r="M98" s="8" t="s">
        <v>144</v>
      </c>
      <c r="N98" s="10" t="s">
        <v>538</v>
      </c>
      <c r="O98" s="11" t="s">
        <v>539</v>
      </c>
      <c r="P98" s="8" t="s">
        <v>540</v>
      </c>
      <c r="Q98" s="10"/>
      <c r="R98" s="10" t="s">
        <v>87</v>
      </c>
      <c r="S98" s="10"/>
    </row>
    <row r="99" customFormat="false" ht="35.05" hidden="false" customHeight="false" outlineLevel="0" collapsed="false">
      <c r="A99" s="8" t="s">
        <v>541</v>
      </c>
      <c r="B99" s="8" t="s">
        <v>542</v>
      </c>
      <c r="C99" s="8" t="s">
        <v>74</v>
      </c>
      <c r="D99" s="8" t="s">
        <v>387</v>
      </c>
      <c r="E99" s="9" t="n">
        <f aca="false">IF(C99="inhibition",-1,1)</f>
        <v>1</v>
      </c>
      <c r="F99" s="10" t="s">
        <v>306</v>
      </c>
      <c r="G99" s="10" t="s">
        <v>389</v>
      </c>
      <c r="H99" s="10" t="s">
        <v>144</v>
      </c>
      <c r="I99" s="8" t="s">
        <v>145</v>
      </c>
      <c r="J99" s="10" t="s">
        <v>144</v>
      </c>
      <c r="K99" s="8" t="s">
        <v>146</v>
      </c>
      <c r="L99" s="10" t="s">
        <v>144</v>
      </c>
      <c r="M99" s="8" t="s">
        <v>144</v>
      </c>
      <c r="N99" s="10" t="s">
        <v>528</v>
      </c>
      <c r="O99" s="11" t="s">
        <v>529</v>
      </c>
      <c r="P99" s="8" t="s">
        <v>530</v>
      </c>
      <c r="Q99" s="10"/>
      <c r="R99" s="10" t="s">
        <v>87</v>
      </c>
      <c r="S99" s="10"/>
    </row>
    <row r="100" customFormat="false" ht="35.05" hidden="false" customHeight="false" outlineLevel="0" collapsed="false">
      <c r="A100" s="8" t="s">
        <v>543</v>
      </c>
      <c r="B100" s="8" t="s">
        <v>544</v>
      </c>
      <c r="C100" s="8" t="s">
        <v>74</v>
      </c>
      <c r="D100" s="8" t="s">
        <v>387</v>
      </c>
      <c r="E100" s="9" t="n">
        <f aca="false">IF(C100="inhibition",-1,1)</f>
        <v>1</v>
      </c>
      <c r="F100" s="10" t="s">
        <v>306</v>
      </c>
      <c r="G100" s="10" t="s">
        <v>389</v>
      </c>
      <c r="H100" s="10" t="s">
        <v>196</v>
      </c>
      <c r="I100" s="8" t="s">
        <v>145</v>
      </c>
      <c r="J100" s="10" t="s">
        <v>144</v>
      </c>
      <c r="K100" s="8" t="s">
        <v>146</v>
      </c>
      <c r="L100" s="10" t="s">
        <v>144</v>
      </c>
      <c r="M100" s="8" t="s">
        <v>144</v>
      </c>
      <c r="N100" s="10" t="s">
        <v>533</v>
      </c>
      <c r="O100" s="11" t="s">
        <v>534</v>
      </c>
      <c r="P100" s="8"/>
      <c r="Q100" s="10"/>
      <c r="R100" s="10" t="s">
        <v>87</v>
      </c>
      <c r="S100" s="10"/>
    </row>
    <row r="101" customFormat="false" ht="35.05" hidden="false" customHeight="false" outlineLevel="0" collapsed="false">
      <c r="A101" s="8" t="s">
        <v>545</v>
      </c>
      <c r="B101" s="8" t="s">
        <v>546</v>
      </c>
      <c r="C101" s="8" t="s">
        <v>74</v>
      </c>
      <c r="D101" s="8" t="s">
        <v>387</v>
      </c>
      <c r="E101" s="9" t="n">
        <f aca="false">IF(C101="inhibition",-1,1)</f>
        <v>1</v>
      </c>
      <c r="F101" s="10" t="s">
        <v>306</v>
      </c>
      <c r="G101" s="10" t="s">
        <v>389</v>
      </c>
      <c r="H101" s="10" t="s">
        <v>196</v>
      </c>
      <c r="I101" s="8" t="s">
        <v>145</v>
      </c>
      <c r="J101" s="10" t="s">
        <v>144</v>
      </c>
      <c r="K101" s="8" t="s">
        <v>146</v>
      </c>
      <c r="L101" s="10" t="s">
        <v>144</v>
      </c>
      <c r="M101" s="8" t="s">
        <v>144</v>
      </c>
      <c r="N101" s="10" t="s">
        <v>547</v>
      </c>
      <c r="O101" s="8"/>
      <c r="P101" s="8" t="s">
        <v>548</v>
      </c>
      <c r="Q101" s="10"/>
      <c r="R101" s="10" t="s">
        <v>198</v>
      </c>
      <c r="S101" s="10"/>
    </row>
    <row r="102" customFormat="false" ht="46.25" hidden="false" customHeight="false" outlineLevel="0" collapsed="false">
      <c r="A102" s="8" t="s">
        <v>549</v>
      </c>
      <c r="B102" s="8" t="s">
        <v>289</v>
      </c>
      <c r="C102" s="8" t="s">
        <v>74</v>
      </c>
      <c r="D102" s="8" t="s">
        <v>550</v>
      </c>
      <c r="E102" s="9" t="n">
        <f aca="false">IF(C102="inhibition",-1,1)</f>
        <v>1</v>
      </c>
      <c r="F102" s="10" t="s">
        <v>76</v>
      </c>
      <c r="G102" s="10" t="s">
        <v>279</v>
      </c>
      <c r="H102" s="10" t="s">
        <v>551</v>
      </c>
      <c r="I102" s="8" t="s">
        <v>145</v>
      </c>
      <c r="J102" s="10" t="s">
        <v>378</v>
      </c>
      <c r="K102" s="8" t="s">
        <v>99</v>
      </c>
      <c r="L102" s="10" t="s">
        <v>92</v>
      </c>
      <c r="M102" s="8" t="s">
        <v>82</v>
      </c>
      <c r="N102" s="10" t="s">
        <v>552</v>
      </c>
      <c r="O102" s="11" t="s">
        <v>553</v>
      </c>
      <c r="P102" s="8" t="s">
        <v>554</v>
      </c>
      <c r="Q102" s="10"/>
      <c r="R102" s="10" t="s">
        <v>87</v>
      </c>
      <c r="S102" s="10"/>
    </row>
    <row r="103" customFormat="false" ht="35.05" hidden="false" customHeight="false" outlineLevel="0" collapsed="false">
      <c r="A103" s="8" t="s">
        <v>555</v>
      </c>
      <c r="B103" s="8" t="s">
        <v>97</v>
      </c>
      <c r="C103" s="8" t="s">
        <v>74</v>
      </c>
      <c r="D103" s="8" t="s">
        <v>550</v>
      </c>
      <c r="E103" s="9" t="n">
        <f aca="false">IF(C103="inhibition",-1,1)</f>
        <v>1</v>
      </c>
      <c r="F103" s="10" t="s">
        <v>76</v>
      </c>
      <c r="G103" s="10" t="s">
        <v>279</v>
      </c>
      <c r="H103" s="10" t="s">
        <v>196</v>
      </c>
      <c r="I103" s="8" t="s">
        <v>145</v>
      </c>
      <c r="J103" s="10" t="s">
        <v>144</v>
      </c>
      <c r="K103" s="8" t="s">
        <v>146</v>
      </c>
      <c r="L103" s="10" t="s">
        <v>144</v>
      </c>
      <c r="M103" s="8" t="s">
        <v>144</v>
      </c>
      <c r="N103" s="10" t="s">
        <v>556</v>
      </c>
      <c r="O103" s="11" t="s">
        <v>557</v>
      </c>
      <c r="P103" s="8" t="s">
        <v>558</v>
      </c>
      <c r="Q103" s="10"/>
      <c r="R103" s="10" t="s">
        <v>87</v>
      </c>
      <c r="S103" s="10"/>
    </row>
    <row r="104" customFormat="false" ht="35.05" hidden="false" customHeight="false" outlineLevel="0" collapsed="false">
      <c r="A104" s="8" t="s">
        <v>559</v>
      </c>
      <c r="B104" s="8" t="s">
        <v>383</v>
      </c>
      <c r="C104" s="8" t="s">
        <v>74</v>
      </c>
      <c r="D104" s="8" t="s">
        <v>550</v>
      </c>
      <c r="E104" s="9" t="n">
        <f aca="false">IF(C104="inhibition",-1,1)</f>
        <v>1</v>
      </c>
      <c r="F104" s="10" t="s">
        <v>195</v>
      </c>
      <c r="G104" s="10" t="s">
        <v>279</v>
      </c>
      <c r="H104" s="10" t="s">
        <v>196</v>
      </c>
      <c r="I104" s="8" t="s">
        <v>145</v>
      </c>
      <c r="J104" s="10" t="s">
        <v>144</v>
      </c>
      <c r="K104" s="8" t="s">
        <v>146</v>
      </c>
      <c r="L104" s="10" t="s">
        <v>144</v>
      </c>
      <c r="M104" s="8" t="s">
        <v>144</v>
      </c>
      <c r="N104" s="10" t="s">
        <v>560</v>
      </c>
      <c r="O104" s="11" t="s">
        <v>561</v>
      </c>
      <c r="P104" s="8" t="s">
        <v>562</v>
      </c>
      <c r="Q104" s="10"/>
      <c r="R104" s="10" t="s">
        <v>87</v>
      </c>
      <c r="S104" s="10"/>
    </row>
    <row r="105" customFormat="false" ht="46.25" hidden="false" customHeight="false" outlineLevel="0" collapsed="false">
      <c r="A105" s="8" t="s">
        <v>563</v>
      </c>
      <c r="B105" s="8" t="s">
        <v>120</v>
      </c>
      <c r="C105" s="8" t="s">
        <v>134</v>
      </c>
      <c r="D105" s="8" t="s">
        <v>550</v>
      </c>
      <c r="E105" s="9" t="n">
        <f aca="false">IF(C105="inhibition",-1,1)</f>
        <v>-1</v>
      </c>
      <c r="F105" s="10" t="s">
        <v>76</v>
      </c>
      <c r="G105" s="10" t="s">
        <v>279</v>
      </c>
      <c r="H105" s="10" t="s">
        <v>173</v>
      </c>
      <c r="I105" s="8" t="s">
        <v>127</v>
      </c>
      <c r="J105" s="10" t="s">
        <v>81</v>
      </c>
      <c r="K105" s="8" t="s">
        <v>81</v>
      </c>
      <c r="L105" s="10" t="s">
        <v>92</v>
      </c>
      <c r="M105" s="8" t="s">
        <v>82</v>
      </c>
      <c r="N105" s="10" t="s">
        <v>564</v>
      </c>
      <c r="O105" s="8"/>
      <c r="P105" s="8" t="s">
        <v>565</v>
      </c>
      <c r="Q105" s="10"/>
      <c r="R105" s="10" t="s">
        <v>198</v>
      </c>
      <c r="S105" s="10"/>
    </row>
    <row r="106" customFormat="false" ht="46.25" hidden="false" customHeight="false" outlineLevel="0" collapsed="false">
      <c r="A106" s="8" t="s">
        <v>566</v>
      </c>
      <c r="B106" s="8" t="s">
        <v>201</v>
      </c>
      <c r="C106" s="8" t="s">
        <v>74</v>
      </c>
      <c r="D106" s="8" t="s">
        <v>567</v>
      </c>
      <c r="E106" s="9" t="n">
        <f aca="false">IF(C106="inhibition",-1,1)</f>
        <v>1</v>
      </c>
      <c r="F106" s="10" t="s">
        <v>76</v>
      </c>
      <c r="G106" s="10" t="s">
        <v>279</v>
      </c>
      <c r="H106" s="10" t="s">
        <v>196</v>
      </c>
      <c r="I106" s="8" t="s">
        <v>145</v>
      </c>
      <c r="J106" s="10" t="s">
        <v>144</v>
      </c>
      <c r="K106" s="8" t="s">
        <v>146</v>
      </c>
      <c r="L106" s="10" t="s">
        <v>144</v>
      </c>
      <c r="M106" s="8" t="s">
        <v>144</v>
      </c>
      <c r="N106" s="10" t="s">
        <v>568</v>
      </c>
      <c r="O106" s="11" t="s">
        <v>569</v>
      </c>
      <c r="P106" s="8"/>
      <c r="Q106" s="10"/>
      <c r="R106" s="10" t="s">
        <v>87</v>
      </c>
      <c r="S106" s="10"/>
    </row>
    <row r="107" customFormat="false" ht="46.25" hidden="false" customHeight="false" outlineLevel="0" collapsed="false">
      <c r="A107" s="8" t="s">
        <v>570</v>
      </c>
      <c r="B107" s="8" t="s">
        <v>73</v>
      </c>
      <c r="C107" s="8" t="s">
        <v>74</v>
      </c>
      <c r="D107" s="8" t="s">
        <v>567</v>
      </c>
      <c r="E107" s="9" t="n">
        <f aca="false">IF(C107="inhibition",-1,1)</f>
        <v>1</v>
      </c>
      <c r="F107" s="10" t="s">
        <v>76</v>
      </c>
      <c r="G107" s="10" t="s">
        <v>279</v>
      </c>
      <c r="H107" s="10" t="s">
        <v>571</v>
      </c>
      <c r="I107" s="8" t="s">
        <v>145</v>
      </c>
      <c r="J107" s="10" t="s">
        <v>108</v>
      </c>
      <c r="K107" s="8" t="s">
        <v>81</v>
      </c>
      <c r="L107" s="10" t="s">
        <v>92</v>
      </c>
      <c r="M107" s="8" t="s">
        <v>82</v>
      </c>
      <c r="N107" s="10" t="s">
        <v>572</v>
      </c>
      <c r="O107" s="11" t="s">
        <v>573</v>
      </c>
      <c r="P107" s="8" t="s">
        <v>574</v>
      </c>
      <c r="Q107" s="10"/>
      <c r="R107" s="10" t="s">
        <v>87</v>
      </c>
      <c r="S107" s="10"/>
    </row>
    <row r="108" customFormat="false" ht="57.45" hidden="false" customHeight="false" outlineLevel="0" collapsed="false">
      <c r="A108" s="8" t="s">
        <v>575</v>
      </c>
      <c r="B108" s="8" t="s">
        <v>120</v>
      </c>
      <c r="C108" s="8" t="s">
        <v>74</v>
      </c>
      <c r="D108" s="8" t="s">
        <v>567</v>
      </c>
      <c r="E108" s="9" t="n">
        <f aca="false">IF(C108="inhibition",-1,1)</f>
        <v>1</v>
      </c>
      <c r="F108" s="10" t="s">
        <v>76</v>
      </c>
      <c r="G108" s="10" t="s">
        <v>279</v>
      </c>
      <c r="H108" s="10" t="s">
        <v>173</v>
      </c>
      <c r="I108" s="8" t="s">
        <v>127</v>
      </c>
      <c r="J108" s="10" t="s">
        <v>281</v>
      </c>
      <c r="K108" s="8" t="s">
        <v>99</v>
      </c>
      <c r="L108" s="10" t="s">
        <v>92</v>
      </c>
      <c r="M108" s="8" t="s">
        <v>82</v>
      </c>
      <c r="N108" s="10" t="s">
        <v>576</v>
      </c>
      <c r="O108" s="11" t="s">
        <v>577</v>
      </c>
      <c r="P108" s="8" t="s">
        <v>578</v>
      </c>
      <c r="Q108" s="10"/>
      <c r="R108" s="10" t="s">
        <v>87</v>
      </c>
      <c r="S108" s="10"/>
    </row>
    <row r="109" customFormat="false" ht="46.25" hidden="false" customHeight="false" outlineLevel="0" collapsed="false">
      <c r="A109" s="8" t="s">
        <v>579</v>
      </c>
      <c r="B109" s="8" t="s">
        <v>89</v>
      </c>
      <c r="C109" s="8" t="s">
        <v>134</v>
      </c>
      <c r="D109" s="8" t="s">
        <v>567</v>
      </c>
      <c r="E109" s="9" t="n">
        <f aca="false">IF(C109="inhibition",-1,1)</f>
        <v>-1</v>
      </c>
      <c r="F109" s="10" t="s">
        <v>76</v>
      </c>
      <c r="G109" s="10" t="s">
        <v>279</v>
      </c>
      <c r="H109" s="10" t="s">
        <v>90</v>
      </c>
      <c r="I109" s="8" t="s">
        <v>79</v>
      </c>
      <c r="J109" s="10" t="s">
        <v>81</v>
      </c>
      <c r="K109" s="8" t="s">
        <v>81</v>
      </c>
      <c r="L109" s="10" t="s">
        <v>92</v>
      </c>
      <c r="M109" s="8" t="s">
        <v>82</v>
      </c>
      <c r="N109" s="10" t="s">
        <v>580</v>
      </c>
      <c r="O109" s="11" t="s">
        <v>581</v>
      </c>
      <c r="P109" s="8" t="s">
        <v>582</v>
      </c>
      <c r="Q109" s="10"/>
      <c r="R109" s="10" t="s">
        <v>87</v>
      </c>
      <c r="S109" s="10"/>
    </row>
    <row r="110" customFormat="false" ht="46.25" hidden="false" customHeight="false" outlineLevel="0" collapsed="false">
      <c r="A110" s="8" t="s">
        <v>583</v>
      </c>
      <c r="B110" s="8" t="s">
        <v>165</v>
      </c>
      <c r="C110" s="8" t="s">
        <v>74</v>
      </c>
      <c r="D110" s="8" t="s">
        <v>351</v>
      </c>
      <c r="E110" s="9" t="n">
        <f aca="false">IF(C110="inhibition",-1,1)</f>
        <v>1</v>
      </c>
      <c r="F110" s="10" t="s">
        <v>138</v>
      </c>
      <c r="G110" s="10" t="s">
        <v>76</v>
      </c>
      <c r="H110" s="10" t="s">
        <v>173</v>
      </c>
      <c r="I110" s="8" t="s">
        <v>127</v>
      </c>
      <c r="J110" s="10" t="s">
        <v>174</v>
      </c>
      <c r="K110" s="8" t="s">
        <v>99</v>
      </c>
      <c r="L110" s="10" t="s">
        <v>92</v>
      </c>
      <c r="M110" s="8" t="s">
        <v>82</v>
      </c>
      <c r="N110" s="10" t="s">
        <v>584</v>
      </c>
      <c r="O110" s="11" t="s">
        <v>585</v>
      </c>
      <c r="P110" s="8" t="s">
        <v>586</v>
      </c>
      <c r="Q110" s="10"/>
      <c r="R110" s="10" t="s">
        <v>87</v>
      </c>
      <c r="S110" s="10"/>
    </row>
    <row r="111" customFormat="false" ht="46.25" hidden="false" customHeight="false" outlineLevel="0" collapsed="false">
      <c r="A111" s="8" t="s">
        <v>587</v>
      </c>
      <c r="B111" s="8" t="s">
        <v>113</v>
      </c>
      <c r="C111" s="8" t="s">
        <v>74</v>
      </c>
      <c r="D111" s="8" t="s">
        <v>351</v>
      </c>
      <c r="E111" s="9" t="n">
        <f aca="false">IF(C111="inhibition",-1,1)</f>
        <v>1</v>
      </c>
      <c r="F111" s="10" t="s">
        <v>114</v>
      </c>
      <c r="G111" s="10" t="s">
        <v>76</v>
      </c>
      <c r="H111" s="10" t="s">
        <v>144</v>
      </c>
      <c r="I111" s="8" t="s">
        <v>145</v>
      </c>
      <c r="J111" s="10" t="s">
        <v>144</v>
      </c>
      <c r="K111" s="8" t="s">
        <v>146</v>
      </c>
      <c r="L111" s="10" t="s">
        <v>144</v>
      </c>
      <c r="M111" s="8" t="s">
        <v>144</v>
      </c>
      <c r="N111" s="10" t="s">
        <v>588</v>
      </c>
      <c r="O111" s="11" t="s">
        <v>589</v>
      </c>
      <c r="P111" s="8" t="s">
        <v>590</v>
      </c>
      <c r="Q111" s="10"/>
      <c r="R111" s="10" t="s">
        <v>87</v>
      </c>
      <c r="S111" s="10"/>
    </row>
    <row r="112" customFormat="false" ht="46.25" hidden="false" customHeight="false" outlineLevel="0" collapsed="false">
      <c r="A112" s="8" t="s">
        <v>591</v>
      </c>
      <c r="B112" s="8" t="s">
        <v>592</v>
      </c>
      <c r="C112" s="8" t="s">
        <v>74</v>
      </c>
      <c r="D112" s="8" t="s">
        <v>351</v>
      </c>
      <c r="E112" s="9" t="n">
        <f aca="false">IF(C112="inhibition",-1,1)</f>
        <v>1</v>
      </c>
      <c r="F112" s="10" t="s">
        <v>389</v>
      </c>
      <c r="G112" s="10" t="s">
        <v>76</v>
      </c>
      <c r="H112" s="10" t="s">
        <v>144</v>
      </c>
      <c r="I112" s="8" t="s">
        <v>145</v>
      </c>
      <c r="J112" s="10" t="s">
        <v>144</v>
      </c>
      <c r="K112" s="8" t="s">
        <v>146</v>
      </c>
      <c r="L112" s="10" t="s">
        <v>144</v>
      </c>
      <c r="M112" s="8" t="s">
        <v>144</v>
      </c>
      <c r="N112" s="10" t="s">
        <v>593</v>
      </c>
      <c r="O112" s="11" t="s">
        <v>594</v>
      </c>
      <c r="P112" s="8" t="s">
        <v>595</v>
      </c>
      <c r="Q112" s="10"/>
      <c r="R112" s="10" t="s">
        <v>87</v>
      </c>
      <c r="S112" s="10"/>
    </row>
    <row r="113" customFormat="false" ht="68.65" hidden="false" customHeight="false" outlineLevel="0" collapsed="false">
      <c r="A113" s="8" t="s">
        <v>596</v>
      </c>
      <c r="B113" s="8" t="s">
        <v>125</v>
      </c>
      <c r="C113" s="8" t="s">
        <v>74</v>
      </c>
      <c r="D113" s="8" t="s">
        <v>351</v>
      </c>
      <c r="E113" s="9" t="n">
        <f aca="false">IF(C113="inhibition",-1,1)</f>
        <v>1</v>
      </c>
      <c r="F113" s="10" t="s">
        <v>114</v>
      </c>
      <c r="G113" s="10" t="s">
        <v>76</v>
      </c>
      <c r="H113" s="10" t="s">
        <v>144</v>
      </c>
      <c r="I113" s="8" t="s">
        <v>145</v>
      </c>
      <c r="J113" s="10" t="s">
        <v>144</v>
      </c>
      <c r="K113" s="8" t="s">
        <v>146</v>
      </c>
      <c r="L113" s="10" t="s">
        <v>144</v>
      </c>
      <c r="M113" s="8" t="s">
        <v>144</v>
      </c>
      <c r="N113" s="10" t="s">
        <v>597</v>
      </c>
      <c r="O113" s="11" t="s">
        <v>598</v>
      </c>
      <c r="P113" s="8" t="s">
        <v>599</v>
      </c>
      <c r="Q113" s="10"/>
      <c r="R113" s="10" t="s">
        <v>87</v>
      </c>
      <c r="S113" s="10"/>
    </row>
    <row r="114" customFormat="false" ht="35.05" hidden="false" customHeight="false" outlineLevel="0" collapsed="false">
      <c r="A114" s="8" t="s">
        <v>600</v>
      </c>
      <c r="B114" s="8" t="s">
        <v>137</v>
      </c>
      <c r="C114" s="8" t="s">
        <v>134</v>
      </c>
      <c r="D114" s="8" t="s">
        <v>351</v>
      </c>
      <c r="E114" s="9" t="n">
        <f aca="false">IF(C114="inhibition",-1,1)</f>
        <v>-1</v>
      </c>
      <c r="F114" s="10" t="s">
        <v>138</v>
      </c>
      <c r="G114" s="10" t="s">
        <v>76</v>
      </c>
      <c r="H114" s="10" t="s">
        <v>173</v>
      </c>
      <c r="I114" s="8" t="s">
        <v>127</v>
      </c>
      <c r="J114" s="10" t="s">
        <v>108</v>
      </c>
      <c r="K114" s="8" t="s">
        <v>81</v>
      </c>
      <c r="L114" s="10" t="s">
        <v>92</v>
      </c>
      <c r="M114" s="8" t="s">
        <v>82</v>
      </c>
      <c r="N114" s="10" t="s">
        <v>601</v>
      </c>
      <c r="O114" s="8"/>
      <c r="P114" s="8"/>
      <c r="Q114" s="10"/>
      <c r="R114" s="10" t="s">
        <v>198</v>
      </c>
      <c r="S114" s="10"/>
    </row>
    <row r="115" customFormat="false" ht="79.85" hidden="false" customHeight="false" outlineLevel="0" collapsed="false">
      <c r="A115" s="8" t="s">
        <v>602</v>
      </c>
      <c r="B115" s="8" t="s">
        <v>200</v>
      </c>
      <c r="C115" s="8" t="s">
        <v>134</v>
      </c>
      <c r="D115" s="8" t="s">
        <v>351</v>
      </c>
      <c r="E115" s="9" t="n">
        <f aca="false">IF(C115="inhibition",-1,1)</f>
        <v>-1</v>
      </c>
      <c r="F115" s="10" t="s">
        <v>114</v>
      </c>
      <c r="G115" s="10" t="s">
        <v>76</v>
      </c>
      <c r="H115" s="10" t="s">
        <v>144</v>
      </c>
      <c r="I115" s="8" t="s">
        <v>145</v>
      </c>
      <c r="J115" s="10" t="s">
        <v>144</v>
      </c>
      <c r="K115" s="8" t="s">
        <v>146</v>
      </c>
      <c r="L115" s="10" t="s">
        <v>144</v>
      </c>
      <c r="M115" s="8" t="s">
        <v>144</v>
      </c>
      <c r="N115" s="10" t="s">
        <v>603</v>
      </c>
      <c r="O115" s="11" t="s">
        <v>604</v>
      </c>
      <c r="P115" s="8" t="s">
        <v>605</v>
      </c>
      <c r="Q115" s="10"/>
      <c r="R115" s="10" t="s">
        <v>87</v>
      </c>
      <c r="S115" s="10"/>
    </row>
    <row r="116" customFormat="false" ht="46.25" hidden="false" customHeight="false" outlineLevel="0" collapsed="false">
      <c r="A116" s="8" t="s">
        <v>606</v>
      </c>
      <c r="B116" s="8" t="s">
        <v>351</v>
      </c>
      <c r="C116" s="8" t="s">
        <v>74</v>
      </c>
      <c r="D116" s="8" t="s">
        <v>607</v>
      </c>
      <c r="E116" s="9" t="n">
        <f aca="false">IF(C116="inhibition",-1,1)</f>
        <v>1</v>
      </c>
      <c r="F116" s="10" t="s">
        <v>76</v>
      </c>
      <c r="G116" s="10" t="s">
        <v>255</v>
      </c>
      <c r="H116" s="10" t="s">
        <v>144</v>
      </c>
      <c r="I116" s="8" t="s">
        <v>145</v>
      </c>
      <c r="J116" s="10" t="s">
        <v>144</v>
      </c>
      <c r="K116" s="8" t="s">
        <v>146</v>
      </c>
      <c r="L116" s="10" t="s">
        <v>144</v>
      </c>
      <c r="M116" s="8" t="s">
        <v>144</v>
      </c>
      <c r="N116" s="10" t="s">
        <v>608</v>
      </c>
      <c r="O116" s="11" t="s">
        <v>609</v>
      </c>
      <c r="P116" s="8" t="s">
        <v>610</v>
      </c>
      <c r="Q116" s="10"/>
      <c r="R116" s="10" t="s">
        <v>87</v>
      </c>
      <c r="S116" s="10"/>
    </row>
    <row r="117" customFormat="false" ht="57.45" hidden="false" customHeight="false" outlineLevel="0" collapsed="false">
      <c r="A117" s="8" t="s">
        <v>611</v>
      </c>
      <c r="B117" s="8" t="s">
        <v>120</v>
      </c>
      <c r="C117" s="8" t="s">
        <v>74</v>
      </c>
      <c r="D117" s="8" t="s">
        <v>607</v>
      </c>
      <c r="E117" s="9" t="n">
        <f aca="false">IF(C117="inhibition",-1,1)</f>
        <v>1</v>
      </c>
      <c r="F117" s="10" t="s">
        <v>76</v>
      </c>
      <c r="G117" s="10" t="s">
        <v>255</v>
      </c>
      <c r="H117" s="10" t="s">
        <v>173</v>
      </c>
      <c r="I117" s="8" t="s">
        <v>127</v>
      </c>
      <c r="J117" s="10" t="s">
        <v>81</v>
      </c>
      <c r="K117" s="8" t="s">
        <v>81</v>
      </c>
      <c r="L117" s="10" t="s">
        <v>92</v>
      </c>
      <c r="M117" s="8" t="s">
        <v>82</v>
      </c>
      <c r="N117" s="10" t="s">
        <v>612</v>
      </c>
      <c r="O117" s="11" t="s">
        <v>613</v>
      </c>
      <c r="P117" s="8" t="s">
        <v>614</v>
      </c>
      <c r="Q117" s="10"/>
      <c r="R117" s="10" t="s">
        <v>87</v>
      </c>
      <c r="S117" s="10"/>
    </row>
    <row r="118" customFormat="false" ht="57.45" hidden="false" customHeight="false" outlineLevel="0" collapsed="false">
      <c r="A118" s="8" t="s">
        <v>615</v>
      </c>
      <c r="B118" s="8" t="s">
        <v>616</v>
      </c>
      <c r="C118" s="8" t="s">
        <v>74</v>
      </c>
      <c r="D118" s="8" t="s">
        <v>617</v>
      </c>
      <c r="E118" s="9" t="n">
        <f aca="false">IF(C118="inhibition",-1,1)</f>
        <v>1</v>
      </c>
      <c r="F118" s="10" t="s">
        <v>195</v>
      </c>
      <c r="G118" s="10" t="s">
        <v>279</v>
      </c>
      <c r="H118" s="10" t="s">
        <v>247</v>
      </c>
      <c r="I118" s="8" t="s">
        <v>127</v>
      </c>
      <c r="J118" s="10" t="s">
        <v>248</v>
      </c>
      <c r="K118" s="8" t="s">
        <v>99</v>
      </c>
      <c r="L118" s="10" t="s">
        <v>144</v>
      </c>
      <c r="M118" s="8" t="s">
        <v>144</v>
      </c>
      <c r="N118" s="10" t="s">
        <v>618</v>
      </c>
      <c r="O118" s="11" t="s">
        <v>619</v>
      </c>
      <c r="P118" s="8" t="s">
        <v>620</v>
      </c>
      <c r="Q118" s="10"/>
      <c r="R118" s="10" t="s">
        <v>87</v>
      </c>
      <c r="S118" s="10"/>
    </row>
    <row r="119" customFormat="false" ht="57.45" hidden="false" customHeight="false" outlineLevel="0" collapsed="false">
      <c r="A119" s="8" t="s">
        <v>621</v>
      </c>
      <c r="B119" s="8" t="s">
        <v>622</v>
      </c>
      <c r="C119" s="8" t="s">
        <v>74</v>
      </c>
      <c r="D119" s="8" t="s">
        <v>617</v>
      </c>
      <c r="E119" s="9" t="n">
        <f aca="false">IF(C119="inhibition",-1,1)</f>
        <v>1</v>
      </c>
      <c r="F119" s="10" t="s">
        <v>195</v>
      </c>
      <c r="G119" s="10" t="s">
        <v>279</v>
      </c>
      <c r="H119" s="10" t="s">
        <v>247</v>
      </c>
      <c r="I119" s="8" t="s">
        <v>127</v>
      </c>
      <c r="J119" s="10" t="s">
        <v>248</v>
      </c>
      <c r="K119" s="8" t="s">
        <v>99</v>
      </c>
      <c r="L119" s="10" t="s">
        <v>144</v>
      </c>
      <c r="M119" s="8" t="s">
        <v>144</v>
      </c>
      <c r="N119" s="10" t="s">
        <v>618</v>
      </c>
      <c r="O119" s="11" t="s">
        <v>619</v>
      </c>
      <c r="P119" s="8" t="s">
        <v>620</v>
      </c>
      <c r="Q119" s="10"/>
      <c r="R119" s="10" t="s">
        <v>87</v>
      </c>
      <c r="S119" s="10"/>
    </row>
    <row r="120" customFormat="false" ht="46.25" hidden="false" customHeight="false" outlineLevel="0" collapsed="false">
      <c r="A120" s="8" t="s">
        <v>623</v>
      </c>
      <c r="B120" s="8" t="s">
        <v>383</v>
      </c>
      <c r="C120" s="8" t="s">
        <v>74</v>
      </c>
      <c r="D120" s="8" t="s">
        <v>617</v>
      </c>
      <c r="E120" s="9" t="n">
        <f aca="false">IF(C120="inhibition",-1,1)</f>
        <v>1</v>
      </c>
      <c r="F120" s="10" t="s">
        <v>195</v>
      </c>
      <c r="G120" s="10" t="s">
        <v>279</v>
      </c>
      <c r="H120" s="10" t="s">
        <v>196</v>
      </c>
      <c r="I120" s="8" t="s">
        <v>145</v>
      </c>
      <c r="J120" s="10" t="s">
        <v>144</v>
      </c>
      <c r="K120" s="8" t="s">
        <v>146</v>
      </c>
      <c r="L120" s="10" t="s">
        <v>144</v>
      </c>
      <c r="M120" s="8" t="s">
        <v>144</v>
      </c>
      <c r="N120" s="10" t="s">
        <v>624</v>
      </c>
      <c r="O120" s="11" t="s">
        <v>625</v>
      </c>
      <c r="P120" s="8" t="s">
        <v>626</v>
      </c>
      <c r="Q120" s="10"/>
      <c r="R120" s="10" t="s">
        <v>87</v>
      </c>
      <c r="S120" s="10"/>
    </row>
    <row r="121" customFormat="false" ht="57.45" hidden="false" customHeight="false" outlineLevel="0" collapsed="false">
      <c r="A121" s="8" t="s">
        <v>627</v>
      </c>
      <c r="B121" s="8" t="s">
        <v>120</v>
      </c>
      <c r="C121" s="8" t="s">
        <v>134</v>
      </c>
      <c r="D121" s="8" t="s">
        <v>617</v>
      </c>
      <c r="E121" s="9" t="n">
        <f aca="false">IF(C121="inhibition",-1,1)</f>
        <v>-1</v>
      </c>
      <c r="F121" s="10" t="s">
        <v>76</v>
      </c>
      <c r="G121" s="10" t="s">
        <v>279</v>
      </c>
      <c r="H121" s="10" t="s">
        <v>173</v>
      </c>
      <c r="I121" s="8" t="s">
        <v>127</v>
      </c>
      <c r="J121" s="10" t="s">
        <v>108</v>
      </c>
      <c r="K121" s="8" t="s">
        <v>81</v>
      </c>
      <c r="L121" s="10" t="s">
        <v>92</v>
      </c>
      <c r="M121" s="8" t="s">
        <v>82</v>
      </c>
      <c r="N121" s="10" t="s">
        <v>628</v>
      </c>
      <c r="O121" s="11" t="s">
        <v>629</v>
      </c>
      <c r="P121" s="8" t="s">
        <v>630</v>
      </c>
      <c r="Q121" s="10"/>
      <c r="R121" s="10" t="s">
        <v>87</v>
      </c>
      <c r="S121" s="10"/>
    </row>
    <row r="122" customFormat="false" ht="46.25" hidden="false" customHeight="false" outlineLevel="0" collapsed="false">
      <c r="A122" s="8" t="s">
        <v>631</v>
      </c>
      <c r="B122" s="8" t="s">
        <v>351</v>
      </c>
      <c r="C122" s="8" t="s">
        <v>74</v>
      </c>
      <c r="D122" s="8" t="s">
        <v>632</v>
      </c>
      <c r="E122" s="9" t="n">
        <f aca="false">IF(C122="inhibition",-1,1)</f>
        <v>1</v>
      </c>
      <c r="F122" s="10" t="s">
        <v>76</v>
      </c>
      <c r="G122" s="10" t="s">
        <v>138</v>
      </c>
      <c r="H122" s="10" t="s">
        <v>173</v>
      </c>
      <c r="I122" s="8" t="s">
        <v>127</v>
      </c>
      <c r="J122" s="10" t="s">
        <v>108</v>
      </c>
      <c r="K122" s="8" t="s">
        <v>81</v>
      </c>
      <c r="L122" s="10" t="s">
        <v>92</v>
      </c>
      <c r="M122" s="8" t="s">
        <v>82</v>
      </c>
      <c r="N122" s="10" t="s">
        <v>633</v>
      </c>
      <c r="O122" s="11" t="s">
        <v>355</v>
      </c>
      <c r="P122" s="8" t="s">
        <v>356</v>
      </c>
      <c r="Q122" s="10"/>
      <c r="R122" s="10" t="s">
        <v>87</v>
      </c>
      <c r="S122" s="10"/>
    </row>
    <row r="123" customFormat="false" ht="35.05" hidden="false" customHeight="false" outlineLevel="0" collapsed="false">
      <c r="A123" s="8" t="s">
        <v>634</v>
      </c>
      <c r="B123" s="8" t="s">
        <v>300</v>
      </c>
      <c r="C123" s="8" t="s">
        <v>74</v>
      </c>
      <c r="D123" s="8" t="s">
        <v>632</v>
      </c>
      <c r="E123" s="9" t="n">
        <f aca="false">IF(C123="inhibition",-1,1)</f>
        <v>1</v>
      </c>
      <c r="F123" s="10" t="s">
        <v>76</v>
      </c>
      <c r="G123" s="10" t="s">
        <v>138</v>
      </c>
      <c r="H123" s="10" t="s">
        <v>359</v>
      </c>
      <c r="I123" s="8" t="s">
        <v>145</v>
      </c>
      <c r="J123" s="10" t="s">
        <v>144</v>
      </c>
      <c r="K123" s="8" t="s">
        <v>146</v>
      </c>
      <c r="L123" s="10" t="s">
        <v>144</v>
      </c>
      <c r="M123" s="8" t="s">
        <v>144</v>
      </c>
      <c r="N123" s="10" t="s">
        <v>360</v>
      </c>
      <c r="O123" s="11" t="s">
        <v>361</v>
      </c>
      <c r="P123" s="8"/>
      <c r="Q123" s="10"/>
      <c r="R123" s="10" t="s">
        <v>87</v>
      </c>
      <c r="S123" s="10"/>
    </row>
    <row r="124" customFormat="false" ht="35.05" hidden="false" customHeight="false" outlineLevel="0" collapsed="false">
      <c r="A124" s="8" t="s">
        <v>635</v>
      </c>
      <c r="B124" s="8" t="s">
        <v>179</v>
      </c>
      <c r="C124" s="8" t="s">
        <v>74</v>
      </c>
      <c r="D124" s="8" t="s">
        <v>472</v>
      </c>
      <c r="E124" s="9" t="n">
        <f aca="false">IF(C124="inhibition",-1,1)</f>
        <v>1</v>
      </c>
      <c r="F124" s="10" t="s">
        <v>180</v>
      </c>
      <c r="G124" s="10" t="s">
        <v>138</v>
      </c>
      <c r="H124" s="10" t="s">
        <v>196</v>
      </c>
      <c r="I124" s="8" t="s">
        <v>145</v>
      </c>
      <c r="J124" s="10" t="s">
        <v>144</v>
      </c>
      <c r="K124" s="8" t="s">
        <v>146</v>
      </c>
      <c r="L124" s="10" t="s">
        <v>144</v>
      </c>
      <c r="M124" s="8" t="s">
        <v>144</v>
      </c>
      <c r="N124" s="10" t="s">
        <v>636</v>
      </c>
      <c r="O124" s="11" t="s">
        <v>637</v>
      </c>
      <c r="P124" s="8"/>
      <c r="Q124" s="10"/>
      <c r="R124" s="10" t="s">
        <v>87</v>
      </c>
      <c r="S124" s="10"/>
    </row>
    <row r="125" customFormat="false" ht="46.25" hidden="false" customHeight="false" outlineLevel="0" collapsed="false">
      <c r="A125" s="8" t="s">
        <v>638</v>
      </c>
      <c r="B125" s="8" t="s">
        <v>157</v>
      </c>
      <c r="C125" s="8" t="s">
        <v>134</v>
      </c>
      <c r="D125" s="8" t="s">
        <v>472</v>
      </c>
      <c r="E125" s="9" t="n">
        <f aca="false">IF(C125="inhibition",-1,1)</f>
        <v>-1</v>
      </c>
      <c r="F125" s="10" t="s">
        <v>138</v>
      </c>
      <c r="G125" s="10" t="s">
        <v>138</v>
      </c>
      <c r="H125" s="10" t="s">
        <v>173</v>
      </c>
      <c r="I125" s="8" t="s">
        <v>127</v>
      </c>
      <c r="J125" s="10" t="s">
        <v>639</v>
      </c>
      <c r="K125" s="8" t="s">
        <v>81</v>
      </c>
      <c r="L125" s="10" t="s">
        <v>92</v>
      </c>
      <c r="M125" s="8" t="s">
        <v>82</v>
      </c>
      <c r="N125" s="10" t="s">
        <v>640</v>
      </c>
      <c r="O125" s="8"/>
      <c r="P125" s="8"/>
      <c r="Q125" s="10"/>
      <c r="R125" s="10" t="s">
        <v>198</v>
      </c>
      <c r="S125" s="10"/>
    </row>
    <row r="126" customFormat="false" ht="57.45" hidden="false" customHeight="false" outlineLevel="0" collapsed="false">
      <c r="A126" s="8" t="s">
        <v>641</v>
      </c>
      <c r="B126" s="8" t="s">
        <v>465</v>
      </c>
      <c r="C126" s="8" t="s">
        <v>74</v>
      </c>
      <c r="D126" s="8" t="s">
        <v>73</v>
      </c>
      <c r="E126" s="9" t="n">
        <f aca="false">IF(C126="inhibition",-1,1)</f>
        <v>1</v>
      </c>
      <c r="F126" s="10" t="s">
        <v>114</v>
      </c>
      <c r="G126" s="10" t="s">
        <v>76</v>
      </c>
      <c r="H126" s="10" t="s">
        <v>144</v>
      </c>
      <c r="I126" s="8" t="s">
        <v>145</v>
      </c>
      <c r="J126" s="10" t="s">
        <v>144</v>
      </c>
      <c r="K126" s="8" t="s">
        <v>146</v>
      </c>
      <c r="L126" s="10" t="s">
        <v>144</v>
      </c>
      <c r="M126" s="8" t="s">
        <v>144</v>
      </c>
      <c r="N126" s="10" t="s">
        <v>642</v>
      </c>
      <c r="O126" s="11" t="s">
        <v>643</v>
      </c>
      <c r="P126" s="8" t="s">
        <v>644</v>
      </c>
      <c r="Q126" s="10"/>
      <c r="R126" s="10" t="s">
        <v>87</v>
      </c>
      <c r="S126" s="10"/>
    </row>
    <row r="127" customFormat="false" ht="57.45" hidden="false" customHeight="false" outlineLevel="0" collapsed="false">
      <c r="A127" s="8" t="s">
        <v>645</v>
      </c>
      <c r="B127" s="8" t="s">
        <v>113</v>
      </c>
      <c r="C127" s="8" t="s">
        <v>74</v>
      </c>
      <c r="D127" s="8" t="s">
        <v>73</v>
      </c>
      <c r="E127" s="9" t="n">
        <f aca="false">IF(C127="inhibition",-1,1)</f>
        <v>1</v>
      </c>
      <c r="F127" s="10" t="s">
        <v>114</v>
      </c>
      <c r="G127" s="10" t="s">
        <v>76</v>
      </c>
      <c r="H127" s="10" t="s">
        <v>196</v>
      </c>
      <c r="I127" s="8" t="s">
        <v>145</v>
      </c>
      <c r="J127" s="10" t="s">
        <v>144</v>
      </c>
      <c r="K127" s="8" t="s">
        <v>146</v>
      </c>
      <c r="L127" s="10" t="s">
        <v>144</v>
      </c>
      <c r="M127" s="8" t="s">
        <v>144</v>
      </c>
      <c r="N127" s="10" t="s">
        <v>646</v>
      </c>
      <c r="O127" s="11" t="s">
        <v>647</v>
      </c>
      <c r="P127" s="8" t="s">
        <v>648</v>
      </c>
      <c r="Q127" s="10"/>
      <c r="R127" s="10" t="s">
        <v>87</v>
      </c>
      <c r="S127" s="10"/>
    </row>
    <row r="128" customFormat="false" ht="46.25" hidden="false" customHeight="false" outlineLevel="0" collapsed="false">
      <c r="A128" s="8" t="s">
        <v>649</v>
      </c>
      <c r="B128" s="8" t="s">
        <v>188</v>
      </c>
      <c r="C128" s="8" t="s">
        <v>74</v>
      </c>
      <c r="D128" s="8" t="s">
        <v>73</v>
      </c>
      <c r="E128" s="9" t="n">
        <f aca="false">IF(C128="inhibition",-1,1)</f>
        <v>1</v>
      </c>
      <c r="F128" s="10" t="s">
        <v>138</v>
      </c>
      <c r="G128" s="10" t="s">
        <v>76</v>
      </c>
      <c r="H128" s="10" t="s">
        <v>144</v>
      </c>
      <c r="I128" s="8" t="s">
        <v>145</v>
      </c>
      <c r="J128" s="10" t="s">
        <v>144</v>
      </c>
      <c r="K128" s="8" t="s">
        <v>146</v>
      </c>
      <c r="L128" s="10" t="s">
        <v>144</v>
      </c>
      <c r="M128" s="8" t="s">
        <v>144</v>
      </c>
      <c r="N128" s="10" t="s">
        <v>650</v>
      </c>
      <c r="O128" s="11" t="s">
        <v>651</v>
      </c>
      <c r="P128" s="8" t="s">
        <v>652</v>
      </c>
      <c r="Q128" s="10"/>
      <c r="R128" s="10" t="s">
        <v>87</v>
      </c>
      <c r="S128" s="10"/>
    </row>
    <row r="129" customFormat="false" ht="46.25" hidden="false" customHeight="false" outlineLevel="0" collapsed="false">
      <c r="A129" s="8" t="s">
        <v>653</v>
      </c>
      <c r="B129" s="8" t="s">
        <v>125</v>
      </c>
      <c r="C129" s="8" t="s">
        <v>74</v>
      </c>
      <c r="D129" s="8" t="s">
        <v>73</v>
      </c>
      <c r="E129" s="9" t="n">
        <f aca="false">IF(C129="inhibition",-1,1)</f>
        <v>1</v>
      </c>
      <c r="F129" s="10" t="s">
        <v>114</v>
      </c>
      <c r="G129" s="10" t="s">
        <v>76</v>
      </c>
      <c r="H129" s="10" t="s">
        <v>126</v>
      </c>
      <c r="I129" s="8" t="s">
        <v>127</v>
      </c>
      <c r="J129" s="10" t="s">
        <v>654</v>
      </c>
      <c r="K129" s="8" t="s">
        <v>81</v>
      </c>
      <c r="L129" s="10" t="s">
        <v>82</v>
      </c>
      <c r="M129" s="8" t="s">
        <v>82</v>
      </c>
      <c r="N129" s="10" t="s">
        <v>655</v>
      </c>
      <c r="O129" s="11" t="s">
        <v>656</v>
      </c>
      <c r="P129" s="8" t="s">
        <v>657</v>
      </c>
      <c r="Q129" s="10" t="s">
        <v>658</v>
      </c>
      <c r="R129" s="10" t="s">
        <v>87</v>
      </c>
      <c r="S129" s="10"/>
    </row>
    <row r="130" customFormat="false" ht="46.25" hidden="false" customHeight="false" outlineLevel="0" collapsed="false">
      <c r="A130" s="8" t="s">
        <v>659</v>
      </c>
      <c r="B130" s="8" t="s">
        <v>472</v>
      </c>
      <c r="C130" s="8" t="s">
        <v>134</v>
      </c>
      <c r="D130" s="8" t="s">
        <v>73</v>
      </c>
      <c r="E130" s="9" t="n">
        <f aca="false">IF(C130="inhibition",-1,1)</f>
        <v>-1</v>
      </c>
      <c r="F130" s="10" t="s">
        <v>138</v>
      </c>
      <c r="G130" s="10" t="s">
        <v>76</v>
      </c>
      <c r="H130" s="10" t="s">
        <v>144</v>
      </c>
      <c r="I130" s="8" t="s">
        <v>145</v>
      </c>
      <c r="J130" s="10" t="s">
        <v>144</v>
      </c>
      <c r="K130" s="8" t="s">
        <v>146</v>
      </c>
      <c r="L130" s="10" t="s">
        <v>144</v>
      </c>
      <c r="M130" s="8" t="s">
        <v>144</v>
      </c>
      <c r="N130" s="10" t="s">
        <v>660</v>
      </c>
      <c r="O130" s="11" t="s">
        <v>661</v>
      </c>
      <c r="P130" s="8" t="s">
        <v>662</v>
      </c>
      <c r="Q130" s="10"/>
      <c r="R130" s="10" t="s">
        <v>87</v>
      </c>
      <c r="S130" s="10"/>
    </row>
    <row r="131" customFormat="false" ht="46.25" hidden="false" customHeight="false" outlineLevel="0" collapsed="false">
      <c r="A131" s="8" t="s">
        <v>663</v>
      </c>
      <c r="B131" s="8" t="s">
        <v>120</v>
      </c>
      <c r="C131" s="8" t="s">
        <v>74</v>
      </c>
      <c r="D131" s="8" t="s">
        <v>105</v>
      </c>
      <c r="E131" s="9" t="n">
        <f aca="false">IF(C131="inhibition",-1,1)</f>
        <v>1</v>
      </c>
      <c r="F131" s="10" t="s">
        <v>76</v>
      </c>
      <c r="G131" s="10" t="s">
        <v>76</v>
      </c>
      <c r="H131" s="10" t="s">
        <v>173</v>
      </c>
      <c r="I131" s="8" t="s">
        <v>127</v>
      </c>
      <c r="J131" s="10" t="s">
        <v>664</v>
      </c>
      <c r="K131" s="8" t="s">
        <v>99</v>
      </c>
      <c r="L131" s="10" t="s">
        <v>249</v>
      </c>
      <c r="M131" s="8" t="s">
        <v>249</v>
      </c>
      <c r="N131" s="10" t="s">
        <v>665</v>
      </c>
      <c r="O131" s="11" t="s">
        <v>666</v>
      </c>
      <c r="P131" s="8" t="s">
        <v>667</v>
      </c>
      <c r="Q131" s="10"/>
      <c r="R131" s="10" t="s">
        <v>87</v>
      </c>
      <c r="S131" s="10"/>
    </row>
    <row r="132" customFormat="false" ht="46.25" hidden="false" customHeight="false" outlineLevel="0" collapsed="false">
      <c r="A132" s="8" t="s">
        <v>668</v>
      </c>
      <c r="B132" s="8" t="s">
        <v>179</v>
      </c>
      <c r="C132" s="8" t="s">
        <v>74</v>
      </c>
      <c r="D132" s="8" t="s">
        <v>105</v>
      </c>
      <c r="E132" s="9" t="n">
        <f aca="false">IF(C132="inhibition",-1,1)</f>
        <v>1</v>
      </c>
      <c r="F132" s="10" t="s">
        <v>180</v>
      </c>
      <c r="G132" s="10" t="s">
        <v>76</v>
      </c>
      <c r="H132" s="10" t="s">
        <v>537</v>
      </c>
      <c r="I132" s="8" t="s">
        <v>145</v>
      </c>
      <c r="J132" s="10" t="s">
        <v>144</v>
      </c>
      <c r="K132" s="8" t="s">
        <v>146</v>
      </c>
      <c r="L132" s="10" t="s">
        <v>144</v>
      </c>
      <c r="M132" s="8" t="s">
        <v>144</v>
      </c>
      <c r="N132" s="10" t="s">
        <v>669</v>
      </c>
      <c r="O132" s="11" t="s">
        <v>670</v>
      </c>
      <c r="P132" s="8" t="s">
        <v>671</v>
      </c>
      <c r="Q132" s="10"/>
      <c r="R132" s="10" t="s">
        <v>87</v>
      </c>
      <c r="S132" s="10"/>
    </row>
    <row r="133" customFormat="false" ht="46.25" hidden="false" customHeight="false" outlineLevel="0" collapsed="false">
      <c r="A133" s="8" t="s">
        <v>672</v>
      </c>
      <c r="B133" s="8" t="s">
        <v>673</v>
      </c>
      <c r="C133" s="8" t="s">
        <v>134</v>
      </c>
      <c r="D133" s="8" t="s">
        <v>105</v>
      </c>
      <c r="E133" s="9" t="n">
        <f aca="false">IF(C133="inhibition",-1,1)</f>
        <v>-1</v>
      </c>
      <c r="F133" s="10" t="s">
        <v>138</v>
      </c>
      <c r="G133" s="10" t="s">
        <v>76</v>
      </c>
      <c r="H133" s="10" t="s">
        <v>126</v>
      </c>
      <c r="I133" s="8" t="s">
        <v>127</v>
      </c>
      <c r="J133" s="10" t="s">
        <v>674</v>
      </c>
      <c r="K133" s="8" t="s">
        <v>99</v>
      </c>
      <c r="L133" s="10" t="s">
        <v>675</v>
      </c>
      <c r="M133" s="8" t="s">
        <v>216</v>
      </c>
      <c r="N133" s="10" t="s">
        <v>676</v>
      </c>
      <c r="O133" s="11" t="s">
        <v>677</v>
      </c>
      <c r="P133" s="8"/>
      <c r="Q133" s="10" t="s">
        <v>678</v>
      </c>
      <c r="R133" s="10" t="s">
        <v>87</v>
      </c>
      <c r="S133" s="10"/>
    </row>
    <row r="134" customFormat="false" ht="35.05" hidden="false" customHeight="false" outlineLevel="0" collapsed="false">
      <c r="A134" s="8" t="s">
        <v>679</v>
      </c>
      <c r="B134" s="8" t="s">
        <v>73</v>
      </c>
      <c r="C134" s="8" t="s">
        <v>74</v>
      </c>
      <c r="D134" s="8" t="s">
        <v>680</v>
      </c>
      <c r="E134" s="9" t="n">
        <f aca="false">IF(C134="inhibition",-1,1)</f>
        <v>1</v>
      </c>
      <c r="F134" s="10" t="s">
        <v>76</v>
      </c>
      <c r="G134" s="10" t="s">
        <v>138</v>
      </c>
      <c r="H134" s="10" t="s">
        <v>196</v>
      </c>
      <c r="I134" s="8" t="s">
        <v>145</v>
      </c>
      <c r="J134" s="10" t="s">
        <v>144</v>
      </c>
      <c r="K134" s="8" t="s">
        <v>146</v>
      </c>
      <c r="L134" s="10" t="s">
        <v>144</v>
      </c>
      <c r="M134" s="8" t="s">
        <v>144</v>
      </c>
      <c r="N134" s="10" t="s">
        <v>681</v>
      </c>
      <c r="O134" s="8"/>
      <c r="P134" s="8" t="s">
        <v>682</v>
      </c>
      <c r="Q134" s="10"/>
      <c r="R134" s="10" t="s">
        <v>198</v>
      </c>
      <c r="S134" s="10"/>
    </row>
    <row r="135" customFormat="false" ht="46.25" hidden="false" customHeight="false" outlineLevel="0" collapsed="false">
      <c r="A135" s="8" t="s">
        <v>683</v>
      </c>
      <c r="B135" s="8" t="s">
        <v>300</v>
      </c>
      <c r="C135" s="8" t="s">
        <v>74</v>
      </c>
      <c r="D135" s="8" t="s">
        <v>680</v>
      </c>
      <c r="E135" s="9" t="n">
        <f aca="false">IF(C135="inhibition",-1,1)</f>
        <v>1</v>
      </c>
      <c r="F135" s="10" t="s">
        <v>76</v>
      </c>
      <c r="G135" s="10" t="s">
        <v>138</v>
      </c>
      <c r="H135" s="10" t="s">
        <v>208</v>
      </c>
      <c r="I135" s="8" t="s">
        <v>127</v>
      </c>
      <c r="J135" s="10" t="s">
        <v>408</v>
      </c>
      <c r="K135" s="8" t="s">
        <v>99</v>
      </c>
      <c r="L135" s="10" t="s">
        <v>144</v>
      </c>
      <c r="M135" s="8" t="s">
        <v>144</v>
      </c>
      <c r="N135" s="10" t="s">
        <v>684</v>
      </c>
      <c r="O135" s="11" t="s">
        <v>685</v>
      </c>
      <c r="P135" s="8" t="s">
        <v>686</v>
      </c>
      <c r="Q135" s="10"/>
      <c r="R135" s="10" t="s">
        <v>87</v>
      </c>
      <c r="S135" s="10"/>
    </row>
    <row r="136" customFormat="false" ht="46.25" hidden="false" customHeight="false" outlineLevel="0" collapsed="false">
      <c r="A136" s="8" t="s">
        <v>687</v>
      </c>
      <c r="B136" s="8" t="s">
        <v>188</v>
      </c>
      <c r="C136" s="8" t="s">
        <v>74</v>
      </c>
      <c r="D136" s="8" t="s">
        <v>688</v>
      </c>
      <c r="E136" s="9" t="n">
        <f aca="false">IF(C136="inhibition",-1,1)</f>
        <v>1</v>
      </c>
      <c r="F136" s="10" t="s">
        <v>138</v>
      </c>
      <c r="G136" s="10" t="s">
        <v>76</v>
      </c>
      <c r="H136" s="10" t="s">
        <v>144</v>
      </c>
      <c r="I136" s="8" t="s">
        <v>145</v>
      </c>
      <c r="J136" s="10" t="s">
        <v>144</v>
      </c>
      <c r="K136" s="8" t="s">
        <v>146</v>
      </c>
      <c r="L136" s="10" t="s">
        <v>144</v>
      </c>
      <c r="M136" s="8" t="s">
        <v>144</v>
      </c>
      <c r="N136" s="10" t="s">
        <v>689</v>
      </c>
      <c r="O136" s="11" t="s">
        <v>690</v>
      </c>
      <c r="P136" s="8" t="s">
        <v>691</v>
      </c>
      <c r="Q136" s="10"/>
      <c r="R136" s="10" t="s">
        <v>87</v>
      </c>
      <c r="S136" s="10"/>
    </row>
    <row r="137" customFormat="false" ht="46.25" hidden="false" customHeight="false" outlineLevel="0" collapsed="false">
      <c r="A137" s="8" t="s">
        <v>692</v>
      </c>
      <c r="B137" s="8" t="s">
        <v>693</v>
      </c>
      <c r="C137" s="8" t="s">
        <v>74</v>
      </c>
      <c r="D137" s="8" t="s">
        <v>688</v>
      </c>
      <c r="E137" s="9" t="n">
        <f aca="false">IF(C137="inhibition",-1,1)</f>
        <v>1</v>
      </c>
      <c r="F137" s="10" t="s">
        <v>138</v>
      </c>
      <c r="G137" s="10" t="s">
        <v>76</v>
      </c>
      <c r="H137" s="10" t="s">
        <v>290</v>
      </c>
      <c r="I137" s="8" t="s">
        <v>145</v>
      </c>
      <c r="J137" s="10" t="s">
        <v>144</v>
      </c>
      <c r="K137" s="8" t="s">
        <v>146</v>
      </c>
      <c r="L137" s="10" t="s">
        <v>144</v>
      </c>
      <c r="M137" s="8" t="s">
        <v>144</v>
      </c>
      <c r="N137" s="10" t="s">
        <v>694</v>
      </c>
      <c r="O137" s="11" t="s">
        <v>695</v>
      </c>
      <c r="P137" s="8" t="s">
        <v>696</v>
      </c>
      <c r="Q137" s="10"/>
      <c r="R137" s="10" t="s">
        <v>87</v>
      </c>
      <c r="S137" s="10"/>
    </row>
    <row r="138" customFormat="false" ht="46.25" hidden="false" customHeight="false" outlineLevel="0" collapsed="false">
      <c r="A138" s="8" t="s">
        <v>697</v>
      </c>
      <c r="B138" s="8" t="s">
        <v>165</v>
      </c>
      <c r="C138" s="8" t="s">
        <v>134</v>
      </c>
      <c r="D138" s="8" t="s">
        <v>688</v>
      </c>
      <c r="E138" s="9" t="n">
        <f aca="false">IF(C138="inhibition",-1,1)</f>
        <v>-1</v>
      </c>
      <c r="F138" s="10" t="s">
        <v>138</v>
      </c>
      <c r="G138" s="10" t="s">
        <v>76</v>
      </c>
      <c r="H138" s="10" t="s">
        <v>196</v>
      </c>
      <c r="I138" s="8" t="s">
        <v>145</v>
      </c>
      <c r="J138" s="10" t="s">
        <v>144</v>
      </c>
      <c r="K138" s="8" t="s">
        <v>146</v>
      </c>
      <c r="L138" s="10" t="s">
        <v>144</v>
      </c>
      <c r="M138" s="8" t="s">
        <v>144</v>
      </c>
      <c r="N138" s="10" t="s">
        <v>698</v>
      </c>
      <c r="O138" s="11" t="s">
        <v>699</v>
      </c>
      <c r="P138" s="8" t="s">
        <v>700</v>
      </c>
      <c r="Q138" s="10"/>
      <c r="R138" s="10" t="s">
        <v>87</v>
      </c>
      <c r="S138" s="10"/>
    </row>
    <row r="139" customFormat="false" ht="35.05" hidden="false" customHeight="false" outlineLevel="0" collapsed="false">
      <c r="A139" s="8" t="s">
        <v>701</v>
      </c>
      <c r="B139" s="8" t="s">
        <v>113</v>
      </c>
      <c r="C139" s="8" t="s">
        <v>134</v>
      </c>
      <c r="D139" s="8" t="s">
        <v>688</v>
      </c>
      <c r="E139" s="9" t="n">
        <f aca="false">IF(C139="inhibition",-1,1)</f>
        <v>-1</v>
      </c>
      <c r="F139" s="10" t="s">
        <v>114</v>
      </c>
      <c r="G139" s="10" t="s">
        <v>76</v>
      </c>
      <c r="H139" s="10" t="s">
        <v>144</v>
      </c>
      <c r="I139" s="8" t="s">
        <v>145</v>
      </c>
      <c r="J139" s="10" t="s">
        <v>144</v>
      </c>
      <c r="K139" s="8" t="s">
        <v>146</v>
      </c>
      <c r="L139" s="10" t="s">
        <v>144</v>
      </c>
      <c r="M139" s="8" t="s">
        <v>144</v>
      </c>
      <c r="N139" s="10" t="s">
        <v>702</v>
      </c>
      <c r="O139" s="11" t="s">
        <v>703</v>
      </c>
      <c r="P139" s="8" t="s">
        <v>704</v>
      </c>
      <c r="Q139" s="10"/>
      <c r="R139" s="10" t="s">
        <v>87</v>
      </c>
      <c r="S139" s="10"/>
    </row>
    <row r="140" customFormat="false" ht="46.25" hidden="false" customHeight="false" outlineLevel="0" collapsed="false">
      <c r="A140" s="8" t="s">
        <v>705</v>
      </c>
      <c r="B140" s="8" t="s">
        <v>688</v>
      </c>
      <c r="C140" s="8" t="s">
        <v>74</v>
      </c>
      <c r="D140" s="8" t="s">
        <v>706</v>
      </c>
      <c r="E140" s="9" t="n">
        <f aca="false">IF(C140="inhibition",-1,1)</f>
        <v>1</v>
      </c>
      <c r="F140" s="10" t="s">
        <v>76</v>
      </c>
      <c r="G140" s="10" t="s">
        <v>180</v>
      </c>
      <c r="H140" s="10" t="s">
        <v>144</v>
      </c>
      <c r="I140" s="8" t="s">
        <v>145</v>
      </c>
      <c r="J140" s="10" t="s">
        <v>144</v>
      </c>
      <c r="K140" s="8" t="s">
        <v>146</v>
      </c>
      <c r="L140" s="10" t="s">
        <v>144</v>
      </c>
      <c r="M140" s="8" t="s">
        <v>144</v>
      </c>
      <c r="N140" s="10" t="s">
        <v>707</v>
      </c>
      <c r="O140" s="11" t="s">
        <v>708</v>
      </c>
      <c r="P140" s="8" t="s">
        <v>709</v>
      </c>
      <c r="Q140" s="10"/>
      <c r="R140" s="10" t="s">
        <v>87</v>
      </c>
      <c r="S140" s="10"/>
    </row>
    <row r="141" customFormat="false" ht="46.25" hidden="false" customHeight="false" outlineLevel="0" collapsed="false">
      <c r="A141" s="8" t="s">
        <v>710</v>
      </c>
      <c r="B141" s="8" t="s">
        <v>688</v>
      </c>
      <c r="C141" s="8" t="s">
        <v>74</v>
      </c>
      <c r="D141" s="8" t="s">
        <v>711</v>
      </c>
      <c r="E141" s="9" t="n">
        <f aca="false">IF(C141="inhibition",-1,1)</f>
        <v>1</v>
      </c>
      <c r="F141" s="10" t="s">
        <v>76</v>
      </c>
      <c r="G141" s="10" t="s">
        <v>180</v>
      </c>
      <c r="H141" s="10" t="s">
        <v>144</v>
      </c>
      <c r="I141" s="8" t="s">
        <v>145</v>
      </c>
      <c r="J141" s="10" t="s">
        <v>144</v>
      </c>
      <c r="K141" s="8" t="s">
        <v>146</v>
      </c>
      <c r="L141" s="10" t="s">
        <v>144</v>
      </c>
      <c r="M141" s="8" t="s">
        <v>144</v>
      </c>
      <c r="N141" s="10" t="s">
        <v>712</v>
      </c>
      <c r="O141" s="11" t="s">
        <v>713</v>
      </c>
      <c r="P141" s="8" t="s">
        <v>714</v>
      </c>
      <c r="Q141" s="10"/>
      <c r="R141" s="10" t="s">
        <v>87</v>
      </c>
      <c r="S141" s="10"/>
    </row>
    <row r="142" customFormat="false" ht="57.45" hidden="false" customHeight="false" outlineLevel="0" collapsed="false">
      <c r="A142" s="8" t="s">
        <v>715</v>
      </c>
      <c r="B142" s="8" t="s">
        <v>227</v>
      </c>
      <c r="C142" s="8" t="s">
        <v>74</v>
      </c>
      <c r="D142" s="8" t="s">
        <v>711</v>
      </c>
      <c r="E142" s="9" t="n">
        <f aca="false">IF(C142="inhibition",-1,1)</f>
        <v>1</v>
      </c>
      <c r="F142" s="10" t="s">
        <v>76</v>
      </c>
      <c r="G142" s="10" t="s">
        <v>180</v>
      </c>
      <c r="H142" s="10" t="s">
        <v>716</v>
      </c>
      <c r="I142" s="8" t="s">
        <v>79</v>
      </c>
      <c r="J142" s="10" t="s">
        <v>248</v>
      </c>
      <c r="K142" s="8" t="s">
        <v>99</v>
      </c>
      <c r="L142" s="10" t="s">
        <v>437</v>
      </c>
      <c r="M142" s="8" t="s">
        <v>438</v>
      </c>
      <c r="N142" s="10" t="s">
        <v>717</v>
      </c>
      <c r="O142" s="11" t="s">
        <v>718</v>
      </c>
      <c r="P142" s="8" t="s">
        <v>719</v>
      </c>
      <c r="Q142" s="10"/>
      <c r="R142" s="10" t="s">
        <v>87</v>
      </c>
      <c r="S142" s="10"/>
    </row>
    <row r="143" customFormat="false" ht="35.05" hidden="false" customHeight="false" outlineLevel="0" collapsed="false">
      <c r="A143" s="8" t="s">
        <v>720</v>
      </c>
      <c r="B143" s="8" t="s">
        <v>97</v>
      </c>
      <c r="C143" s="8" t="s">
        <v>74</v>
      </c>
      <c r="D143" s="8" t="s">
        <v>721</v>
      </c>
      <c r="E143" s="9" t="n">
        <f aca="false">IF(C143="inhibition",-1,1)</f>
        <v>1</v>
      </c>
      <c r="F143" s="10" t="s">
        <v>76</v>
      </c>
      <c r="G143" s="10" t="s">
        <v>279</v>
      </c>
      <c r="H143" s="10" t="s">
        <v>196</v>
      </c>
      <c r="I143" s="8" t="s">
        <v>145</v>
      </c>
      <c r="J143" s="10" t="s">
        <v>144</v>
      </c>
      <c r="K143" s="8" t="s">
        <v>146</v>
      </c>
      <c r="L143" s="10" t="s">
        <v>144</v>
      </c>
      <c r="M143" s="8" t="s">
        <v>144</v>
      </c>
      <c r="N143" s="10" t="s">
        <v>722</v>
      </c>
      <c r="O143" s="11" t="s">
        <v>723</v>
      </c>
      <c r="P143" s="8" t="s">
        <v>724</v>
      </c>
      <c r="Q143" s="10"/>
      <c r="R143" s="10" t="s">
        <v>87</v>
      </c>
      <c r="S143" s="10"/>
    </row>
    <row r="144" customFormat="false" ht="35.05" hidden="false" customHeight="false" outlineLevel="0" collapsed="false">
      <c r="A144" s="8" t="s">
        <v>725</v>
      </c>
      <c r="B144" s="8" t="s">
        <v>726</v>
      </c>
      <c r="C144" s="8" t="s">
        <v>74</v>
      </c>
      <c r="D144" s="8" t="s">
        <v>727</v>
      </c>
      <c r="E144" s="9" t="n">
        <f aca="false">IF(C144="inhibition",-1,1)</f>
        <v>1</v>
      </c>
      <c r="F144" s="10" t="s">
        <v>306</v>
      </c>
      <c r="G144" s="10" t="s">
        <v>195</v>
      </c>
      <c r="H144" s="10" t="s">
        <v>512</v>
      </c>
      <c r="I144" s="8" t="s">
        <v>145</v>
      </c>
      <c r="J144" s="10" t="s">
        <v>728</v>
      </c>
      <c r="K144" s="8" t="s">
        <v>81</v>
      </c>
      <c r="L144" s="10" t="s">
        <v>82</v>
      </c>
      <c r="M144" s="8" t="s">
        <v>82</v>
      </c>
      <c r="N144" s="10" t="s">
        <v>729</v>
      </c>
      <c r="O144" s="11" t="s">
        <v>730</v>
      </c>
      <c r="P144" s="8" t="s">
        <v>731</v>
      </c>
      <c r="Q144" s="10" t="s">
        <v>732</v>
      </c>
      <c r="R144" s="10" t="s">
        <v>87</v>
      </c>
      <c r="S144" s="10"/>
    </row>
    <row r="145" customFormat="false" ht="46.25" hidden="false" customHeight="false" outlineLevel="0" collapsed="false">
      <c r="A145" s="8" t="s">
        <v>733</v>
      </c>
      <c r="B145" s="8" t="s">
        <v>734</v>
      </c>
      <c r="C145" s="8" t="s">
        <v>74</v>
      </c>
      <c r="D145" s="8" t="s">
        <v>727</v>
      </c>
      <c r="E145" s="9" t="n">
        <f aca="false">IF(C145="inhibition",-1,1)</f>
        <v>1</v>
      </c>
      <c r="F145" s="10" t="s">
        <v>114</v>
      </c>
      <c r="G145" s="10" t="s">
        <v>195</v>
      </c>
      <c r="H145" s="10" t="s">
        <v>290</v>
      </c>
      <c r="I145" s="8" t="s">
        <v>145</v>
      </c>
      <c r="J145" s="10" t="s">
        <v>144</v>
      </c>
      <c r="K145" s="8" t="s">
        <v>146</v>
      </c>
      <c r="L145" s="10" t="s">
        <v>144</v>
      </c>
      <c r="M145" s="8" t="s">
        <v>144</v>
      </c>
      <c r="N145" s="10" t="s">
        <v>735</v>
      </c>
      <c r="O145" s="11" t="s">
        <v>736</v>
      </c>
      <c r="P145" s="8" t="s">
        <v>737</v>
      </c>
      <c r="Q145" s="10"/>
      <c r="R145" s="10" t="s">
        <v>87</v>
      </c>
      <c r="S145" s="10"/>
    </row>
    <row r="146" customFormat="false" ht="35.05" hidden="false" customHeight="false" outlineLevel="0" collapsed="false">
      <c r="A146" s="8" t="s">
        <v>738</v>
      </c>
      <c r="B146" s="8" t="s">
        <v>201</v>
      </c>
      <c r="C146" s="8" t="s">
        <v>74</v>
      </c>
      <c r="D146" s="8" t="s">
        <v>739</v>
      </c>
      <c r="E146" s="9" t="n">
        <f aca="false">IF(C146="inhibition",-1,1)</f>
        <v>1</v>
      </c>
      <c r="F146" s="10" t="s">
        <v>76</v>
      </c>
      <c r="G146" s="10" t="s">
        <v>107</v>
      </c>
      <c r="H146" s="10" t="s">
        <v>90</v>
      </c>
      <c r="I146" s="8" t="s">
        <v>79</v>
      </c>
      <c r="J146" s="10" t="s">
        <v>98</v>
      </c>
      <c r="K146" s="8" t="s">
        <v>99</v>
      </c>
      <c r="L146" s="10" t="s">
        <v>92</v>
      </c>
      <c r="M146" s="8" t="s">
        <v>82</v>
      </c>
      <c r="N146" s="10" t="s">
        <v>740</v>
      </c>
      <c r="O146" s="11" t="s">
        <v>741</v>
      </c>
      <c r="P146" s="8"/>
      <c r="Q146" s="10"/>
      <c r="R146" s="10" t="s">
        <v>87</v>
      </c>
      <c r="S146" s="10"/>
    </row>
    <row r="147" customFormat="false" ht="46.25" hidden="false" customHeight="false" outlineLevel="0" collapsed="false">
      <c r="A147" s="8" t="s">
        <v>742</v>
      </c>
      <c r="B147" s="8" t="s">
        <v>120</v>
      </c>
      <c r="C147" s="8" t="s">
        <v>74</v>
      </c>
      <c r="D147" s="8" t="s">
        <v>739</v>
      </c>
      <c r="E147" s="9" t="n">
        <f aca="false">IF(C147="inhibition",-1,1)</f>
        <v>1</v>
      </c>
      <c r="F147" s="10" t="s">
        <v>76</v>
      </c>
      <c r="G147" s="10" t="s">
        <v>107</v>
      </c>
      <c r="H147" s="10" t="s">
        <v>90</v>
      </c>
      <c r="I147" s="8" t="s">
        <v>79</v>
      </c>
      <c r="J147" s="10" t="s">
        <v>91</v>
      </c>
      <c r="K147" s="8" t="s">
        <v>81</v>
      </c>
      <c r="L147" s="10" t="s">
        <v>92</v>
      </c>
      <c r="M147" s="8" t="s">
        <v>82</v>
      </c>
      <c r="N147" s="10" t="s">
        <v>743</v>
      </c>
      <c r="O147" s="8"/>
      <c r="P147" s="8"/>
      <c r="Q147" s="10"/>
      <c r="R147" s="10" t="s">
        <v>198</v>
      </c>
      <c r="S147" s="10"/>
    </row>
    <row r="148" customFormat="false" ht="57.45" hidden="false" customHeight="false" outlineLevel="0" collapsed="false">
      <c r="A148" s="8" t="s">
        <v>744</v>
      </c>
      <c r="B148" s="8" t="s">
        <v>377</v>
      </c>
      <c r="C148" s="8" t="s">
        <v>74</v>
      </c>
      <c r="D148" s="8" t="s">
        <v>739</v>
      </c>
      <c r="E148" s="9" t="n">
        <f aca="false">IF(C148="inhibition",-1,1)</f>
        <v>1</v>
      </c>
      <c r="F148" s="10" t="s">
        <v>76</v>
      </c>
      <c r="G148" s="10" t="s">
        <v>107</v>
      </c>
      <c r="H148" s="10" t="s">
        <v>196</v>
      </c>
      <c r="I148" s="8" t="s">
        <v>145</v>
      </c>
      <c r="J148" s="10" t="s">
        <v>144</v>
      </c>
      <c r="K148" s="8" t="s">
        <v>146</v>
      </c>
      <c r="L148" s="10" t="s">
        <v>144</v>
      </c>
      <c r="M148" s="8" t="s">
        <v>144</v>
      </c>
      <c r="N148" s="10" t="s">
        <v>745</v>
      </c>
      <c r="O148" s="11" t="s">
        <v>746</v>
      </c>
      <c r="P148" s="8" t="s">
        <v>747</v>
      </c>
      <c r="Q148" s="10"/>
      <c r="R148" s="10" t="s">
        <v>87</v>
      </c>
      <c r="S148" s="10"/>
    </row>
    <row r="149" customFormat="false" ht="46.25" hidden="false" customHeight="false" outlineLevel="0" collapsed="false">
      <c r="A149" s="8" t="s">
        <v>748</v>
      </c>
      <c r="B149" s="8" t="s">
        <v>89</v>
      </c>
      <c r="C149" s="8" t="s">
        <v>134</v>
      </c>
      <c r="D149" s="8" t="s">
        <v>739</v>
      </c>
      <c r="E149" s="9" t="n">
        <f aca="false">IF(C149="inhibition",-1,1)</f>
        <v>-1</v>
      </c>
      <c r="F149" s="10" t="s">
        <v>76</v>
      </c>
      <c r="G149" s="10" t="s">
        <v>107</v>
      </c>
      <c r="H149" s="10" t="s">
        <v>90</v>
      </c>
      <c r="I149" s="8" t="s">
        <v>79</v>
      </c>
      <c r="J149" s="10" t="s">
        <v>81</v>
      </c>
      <c r="K149" s="8" t="s">
        <v>81</v>
      </c>
      <c r="L149" s="10" t="s">
        <v>92</v>
      </c>
      <c r="M149" s="8" t="s">
        <v>82</v>
      </c>
      <c r="N149" s="10" t="s">
        <v>580</v>
      </c>
      <c r="O149" s="11" t="s">
        <v>581</v>
      </c>
      <c r="P149" s="8" t="s">
        <v>582</v>
      </c>
      <c r="Q149" s="10"/>
      <c r="R149" s="10" t="s">
        <v>87</v>
      </c>
      <c r="S149" s="10"/>
    </row>
    <row r="150" customFormat="false" ht="35.05" hidden="false" customHeight="false" outlineLevel="0" collapsed="false">
      <c r="A150" s="8" t="s">
        <v>749</v>
      </c>
      <c r="B150" s="8" t="s">
        <v>201</v>
      </c>
      <c r="C150" s="8" t="s">
        <v>74</v>
      </c>
      <c r="D150" s="8" t="s">
        <v>750</v>
      </c>
      <c r="E150" s="9" t="n">
        <f aca="false">IF(C150="inhibition",-1,1)</f>
        <v>1</v>
      </c>
      <c r="F150" s="10" t="s">
        <v>76</v>
      </c>
      <c r="G150" s="10" t="s">
        <v>107</v>
      </c>
      <c r="H150" s="10" t="s">
        <v>90</v>
      </c>
      <c r="I150" s="8" t="s">
        <v>79</v>
      </c>
      <c r="J150" s="10" t="s">
        <v>108</v>
      </c>
      <c r="K150" s="8" t="s">
        <v>81</v>
      </c>
      <c r="L150" s="10" t="s">
        <v>92</v>
      </c>
      <c r="M150" s="8" t="s">
        <v>82</v>
      </c>
      <c r="N150" s="10" t="s">
        <v>448</v>
      </c>
      <c r="O150" s="11" t="s">
        <v>117</v>
      </c>
      <c r="P150" s="8"/>
      <c r="Q150" s="10"/>
      <c r="R150" s="10" t="s">
        <v>87</v>
      </c>
      <c r="S150" s="10"/>
    </row>
    <row r="151" customFormat="false" ht="46.25" hidden="false" customHeight="false" outlineLevel="0" collapsed="false">
      <c r="A151" s="8" t="s">
        <v>751</v>
      </c>
      <c r="B151" s="8" t="s">
        <v>120</v>
      </c>
      <c r="C151" s="8" t="s">
        <v>74</v>
      </c>
      <c r="D151" s="8" t="s">
        <v>750</v>
      </c>
      <c r="E151" s="9" t="n">
        <f aca="false">IF(C151="inhibition",-1,1)</f>
        <v>1</v>
      </c>
      <c r="F151" s="10" t="s">
        <v>76</v>
      </c>
      <c r="G151" s="10" t="s">
        <v>107</v>
      </c>
      <c r="H151" s="10" t="s">
        <v>90</v>
      </c>
      <c r="I151" s="8" t="s">
        <v>79</v>
      </c>
      <c r="J151" s="10" t="s">
        <v>91</v>
      </c>
      <c r="K151" s="8" t="s">
        <v>81</v>
      </c>
      <c r="L151" s="10" t="s">
        <v>92</v>
      </c>
      <c r="M151" s="8" t="s">
        <v>82</v>
      </c>
      <c r="N151" s="10" t="s">
        <v>743</v>
      </c>
      <c r="O151" s="8"/>
      <c r="P151" s="8"/>
      <c r="Q151" s="10"/>
      <c r="R151" s="10" t="s">
        <v>198</v>
      </c>
      <c r="S151" s="10"/>
    </row>
    <row r="152" customFormat="false" ht="57.45" hidden="false" customHeight="false" outlineLevel="0" collapsed="false">
      <c r="A152" s="8" t="s">
        <v>752</v>
      </c>
      <c r="B152" s="8" t="s">
        <v>377</v>
      </c>
      <c r="C152" s="8" t="s">
        <v>74</v>
      </c>
      <c r="D152" s="8" t="s">
        <v>750</v>
      </c>
      <c r="E152" s="9" t="n">
        <f aca="false">IF(C152="inhibition",-1,1)</f>
        <v>1</v>
      </c>
      <c r="F152" s="10" t="s">
        <v>76</v>
      </c>
      <c r="G152" s="10" t="s">
        <v>107</v>
      </c>
      <c r="H152" s="10" t="s">
        <v>196</v>
      </c>
      <c r="I152" s="8" t="s">
        <v>145</v>
      </c>
      <c r="J152" s="10" t="s">
        <v>144</v>
      </c>
      <c r="K152" s="8" t="s">
        <v>146</v>
      </c>
      <c r="L152" s="10" t="s">
        <v>144</v>
      </c>
      <c r="M152" s="8" t="s">
        <v>144</v>
      </c>
      <c r="N152" s="10" t="s">
        <v>745</v>
      </c>
      <c r="O152" s="11" t="s">
        <v>746</v>
      </c>
      <c r="P152" s="8" t="s">
        <v>747</v>
      </c>
      <c r="Q152" s="10"/>
      <c r="R152" s="10" t="s">
        <v>87</v>
      </c>
      <c r="S152" s="10"/>
    </row>
    <row r="153" customFormat="false" ht="35.05" hidden="false" customHeight="false" outlineLevel="0" collapsed="false">
      <c r="A153" s="8" t="s">
        <v>753</v>
      </c>
      <c r="B153" s="8" t="s">
        <v>89</v>
      </c>
      <c r="C153" s="8" t="s">
        <v>134</v>
      </c>
      <c r="D153" s="8" t="s">
        <v>750</v>
      </c>
      <c r="E153" s="9" t="n">
        <f aca="false">IF(C153="inhibition",-1,1)</f>
        <v>-1</v>
      </c>
      <c r="F153" s="10" t="s">
        <v>76</v>
      </c>
      <c r="G153" s="10" t="s">
        <v>107</v>
      </c>
      <c r="H153" s="10" t="s">
        <v>90</v>
      </c>
      <c r="I153" s="8" t="s">
        <v>79</v>
      </c>
      <c r="J153" s="10" t="s">
        <v>378</v>
      </c>
      <c r="K153" s="8" t="s">
        <v>99</v>
      </c>
      <c r="L153" s="10" t="s">
        <v>92</v>
      </c>
      <c r="M153" s="8" t="s">
        <v>82</v>
      </c>
      <c r="N153" s="10" t="s">
        <v>428</v>
      </c>
      <c r="O153" s="11" t="s">
        <v>429</v>
      </c>
      <c r="P153" s="8"/>
      <c r="Q153" s="10"/>
      <c r="R153" s="10" t="s">
        <v>87</v>
      </c>
      <c r="S153" s="10"/>
    </row>
    <row r="154" customFormat="false" ht="46.25" hidden="false" customHeight="false" outlineLevel="0" collapsed="false">
      <c r="A154" s="8" t="s">
        <v>754</v>
      </c>
      <c r="B154" s="8" t="s">
        <v>201</v>
      </c>
      <c r="C154" s="8" t="s">
        <v>74</v>
      </c>
      <c r="D154" s="8" t="s">
        <v>755</v>
      </c>
      <c r="E154" s="9" t="n">
        <f aca="false">IF(C154="inhibition",-1,1)</f>
        <v>1</v>
      </c>
      <c r="F154" s="10" t="s">
        <v>76</v>
      </c>
      <c r="G154" s="10" t="s">
        <v>107</v>
      </c>
      <c r="H154" s="10" t="s">
        <v>173</v>
      </c>
      <c r="I154" s="8" t="s">
        <v>127</v>
      </c>
      <c r="J154" s="10" t="s">
        <v>108</v>
      </c>
      <c r="K154" s="8" t="s">
        <v>81</v>
      </c>
      <c r="L154" s="10" t="s">
        <v>92</v>
      </c>
      <c r="M154" s="8" t="s">
        <v>82</v>
      </c>
      <c r="N154" s="10" t="s">
        <v>756</v>
      </c>
      <c r="O154" s="11" t="s">
        <v>757</v>
      </c>
      <c r="P154" s="8" t="s">
        <v>758</v>
      </c>
      <c r="Q154" s="10"/>
      <c r="R154" s="10" t="s">
        <v>87</v>
      </c>
      <c r="S154" s="10"/>
    </row>
    <row r="155" customFormat="false" ht="46.25" hidden="false" customHeight="false" outlineLevel="0" collapsed="false">
      <c r="A155" s="8" t="s">
        <v>759</v>
      </c>
      <c r="B155" s="8" t="s">
        <v>120</v>
      </c>
      <c r="C155" s="8" t="s">
        <v>74</v>
      </c>
      <c r="D155" s="8" t="s">
        <v>755</v>
      </c>
      <c r="E155" s="9" t="n">
        <f aca="false">IF(C155="inhibition",-1,1)</f>
        <v>1</v>
      </c>
      <c r="F155" s="10" t="s">
        <v>76</v>
      </c>
      <c r="G155" s="10" t="s">
        <v>107</v>
      </c>
      <c r="H155" s="10" t="s">
        <v>90</v>
      </c>
      <c r="I155" s="8" t="s">
        <v>79</v>
      </c>
      <c r="J155" s="10" t="s">
        <v>91</v>
      </c>
      <c r="K155" s="8" t="s">
        <v>81</v>
      </c>
      <c r="L155" s="10" t="s">
        <v>92</v>
      </c>
      <c r="M155" s="8" t="s">
        <v>82</v>
      </c>
      <c r="N155" s="10" t="s">
        <v>743</v>
      </c>
      <c r="O155" s="8"/>
      <c r="P155" s="8"/>
      <c r="Q155" s="10"/>
      <c r="R155" s="10" t="s">
        <v>198</v>
      </c>
      <c r="S155" s="10"/>
    </row>
    <row r="156" customFormat="false" ht="35.05" hidden="false" customHeight="false" outlineLevel="0" collapsed="false">
      <c r="A156" s="8" t="s">
        <v>760</v>
      </c>
      <c r="B156" s="8" t="s">
        <v>201</v>
      </c>
      <c r="C156" s="8" t="s">
        <v>74</v>
      </c>
      <c r="D156" s="8" t="s">
        <v>761</v>
      </c>
      <c r="E156" s="9" t="n">
        <f aca="false">IF(C156="inhibition",-1,1)</f>
        <v>1</v>
      </c>
      <c r="F156" s="10" t="s">
        <v>76</v>
      </c>
      <c r="G156" s="10" t="s">
        <v>195</v>
      </c>
      <c r="H156" s="10" t="s">
        <v>173</v>
      </c>
      <c r="I156" s="8" t="s">
        <v>127</v>
      </c>
      <c r="J156" s="10" t="s">
        <v>108</v>
      </c>
      <c r="K156" s="8" t="s">
        <v>81</v>
      </c>
      <c r="L156" s="10" t="s">
        <v>92</v>
      </c>
      <c r="M156" s="8" t="s">
        <v>82</v>
      </c>
      <c r="N156" s="10" t="s">
        <v>762</v>
      </c>
      <c r="O156" s="8"/>
      <c r="P156" s="8"/>
      <c r="Q156" s="10"/>
      <c r="R156" s="10" t="s">
        <v>198</v>
      </c>
      <c r="S156" s="10"/>
    </row>
    <row r="157" customFormat="false" ht="46.25" hidden="false" customHeight="false" outlineLevel="0" collapsed="false">
      <c r="A157" s="8" t="s">
        <v>763</v>
      </c>
      <c r="B157" s="8" t="s">
        <v>120</v>
      </c>
      <c r="C157" s="8" t="s">
        <v>74</v>
      </c>
      <c r="D157" s="8" t="s">
        <v>761</v>
      </c>
      <c r="E157" s="9" t="n">
        <f aca="false">IF(C157="inhibition",-1,1)</f>
        <v>1</v>
      </c>
      <c r="F157" s="10" t="s">
        <v>76</v>
      </c>
      <c r="G157" s="10" t="s">
        <v>195</v>
      </c>
      <c r="H157" s="10" t="s">
        <v>90</v>
      </c>
      <c r="I157" s="8" t="s">
        <v>79</v>
      </c>
      <c r="J157" s="10" t="s">
        <v>81</v>
      </c>
      <c r="K157" s="8" t="s">
        <v>81</v>
      </c>
      <c r="L157" s="10" t="s">
        <v>100</v>
      </c>
      <c r="M157" s="8" t="s">
        <v>82</v>
      </c>
      <c r="N157" s="10" t="s">
        <v>450</v>
      </c>
      <c r="O157" s="8"/>
      <c r="P157" s="8"/>
      <c r="Q157" s="10"/>
      <c r="R157" s="10" t="s">
        <v>198</v>
      </c>
      <c r="S157" s="10"/>
    </row>
    <row r="158" customFormat="false" ht="46.25" hidden="false" customHeight="false" outlineLevel="0" collapsed="false">
      <c r="A158" s="8" t="s">
        <v>764</v>
      </c>
      <c r="B158" s="8" t="s">
        <v>300</v>
      </c>
      <c r="C158" s="8" t="s">
        <v>134</v>
      </c>
      <c r="D158" s="8" t="s">
        <v>761</v>
      </c>
      <c r="E158" s="9" t="n">
        <f aca="false">IF(C158="inhibition",-1,1)</f>
        <v>-1</v>
      </c>
      <c r="F158" s="10" t="s">
        <v>76</v>
      </c>
      <c r="G158" s="10" t="s">
        <v>195</v>
      </c>
      <c r="H158" s="10" t="s">
        <v>208</v>
      </c>
      <c r="I158" s="8" t="s">
        <v>127</v>
      </c>
      <c r="J158" s="10" t="s">
        <v>408</v>
      </c>
      <c r="K158" s="8" t="s">
        <v>99</v>
      </c>
      <c r="L158" s="10" t="s">
        <v>144</v>
      </c>
      <c r="M158" s="8" t="s">
        <v>144</v>
      </c>
      <c r="N158" s="10" t="s">
        <v>684</v>
      </c>
      <c r="O158" s="11" t="s">
        <v>685</v>
      </c>
      <c r="P158" s="8" t="s">
        <v>686</v>
      </c>
      <c r="Q158" s="10"/>
      <c r="R158" s="10" t="s">
        <v>87</v>
      </c>
      <c r="S158" s="10"/>
    </row>
    <row r="159" customFormat="false" ht="35.05" hidden="false" customHeight="false" outlineLevel="0" collapsed="false">
      <c r="A159" s="8" t="s">
        <v>765</v>
      </c>
      <c r="B159" s="8" t="s">
        <v>766</v>
      </c>
      <c r="C159" s="8" t="s">
        <v>74</v>
      </c>
      <c r="D159" s="8" t="s">
        <v>314</v>
      </c>
      <c r="E159" s="9" t="n">
        <f aca="false">IF(C159="inhibition",-1,1)</f>
        <v>1</v>
      </c>
      <c r="F159" s="10" t="s">
        <v>166</v>
      </c>
      <c r="G159" s="10" t="s">
        <v>166</v>
      </c>
      <c r="H159" s="10" t="s">
        <v>144</v>
      </c>
      <c r="I159" s="8" t="s">
        <v>145</v>
      </c>
      <c r="J159" s="10" t="s">
        <v>144</v>
      </c>
      <c r="K159" s="8" t="s">
        <v>146</v>
      </c>
      <c r="L159" s="10" t="s">
        <v>144</v>
      </c>
      <c r="M159" s="8" t="s">
        <v>144</v>
      </c>
      <c r="N159" s="10" t="s">
        <v>489</v>
      </c>
      <c r="O159" s="11" t="s">
        <v>490</v>
      </c>
      <c r="P159" s="8" t="s">
        <v>491</v>
      </c>
      <c r="Q159" s="10"/>
      <c r="R159" s="10" t="s">
        <v>87</v>
      </c>
      <c r="S159" s="10"/>
    </row>
    <row r="160" customFormat="false" ht="35.05" hidden="false" customHeight="false" outlineLevel="0" collapsed="false">
      <c r="A160" s="8" t="s">
        <v>767</v>
      </c>
      <c r="B160" s="8" t="s">
        <v>179</v>
      </c>
      <c r="C160" s="8" t="s">
        <v>74</v>
      </c>
      <c r="D160" s="8" t="s">
        <v>314</v>
      </c>
      <c r="E160" s="9" t="n">
        <f aca="false">IF(C160="inhibition",-1,1)</f>
        <v>1</v>
      </c>
      <c r="F160" s="10" t="s">
        <v>180</v>
      </c>
      <c r="G160" s="10" t="s">
        <v>166</v>
      </c>
      <c r="H160" s="10" t="s">
        <v>144</v>
      </c>
      <c r="I160" s="8" t="s">
        <v>145</v>
      </c>
      <c r="J160" s="10" t="s">
        <v>144</v>
      </c>
      <c r="K160" s="8" t="s">
        <v>146</v>
      </c>
      <c r="L160" s="10" t="s">
        <v>144</v>
      </c>
      <c r="M160" s="8" t="s">
        <v>144</v>
      </c>
      <c r="N160" s="10" t="s">
        <v>768</v>
      </c>
      <c r="O160" s="11" t="s">
        <v>769</v>
      </c>
      <c r="P160" s="8" t="s">
        <v>770</v>
      </c>
      <c r="Q160" s="10" t="s">
        <v>771</v>
      </c>
      <c r="R160" s="10" t="s">
        <v>87</v>
      </c>
      <c r="S160" s="10"/>
    </row>
    <row r="161" customFormat="false" ht="57.45" hidden="false" customHeight="false" outlineLevel="0" collapsed="false">
      <c r="A161" s="8" t="s">
        <v>772</v>
      </c>
      <c r="B161" s="8" t="s">
        <v>327</v>
      </c>
      <c r="C161" s="8" t="s">
        <v>134</v>
      </c>
      <c r="D161" s="8" t="s">
        <v>314</v>
      </c>
      <c r="E161" s="9" t="n">
        <f aca="false">IF(C161="inhibition",-1,1)</f>
        <v>-1</v>
      </c>
      <c r="F161" s="10" t="s">
        <v>166</v>
      </c>
      <c r="G161" s="10" t="s">
        <v>166</v>
      </c>
      <c r="H161" s="10" t="s">
        <v>196</v>
      </c>
      <c r="I161" s="8" t="s">
        <v>145</v>
      </c>
      <c r="J161" s="10" t="s">
        <v>144</v>
      </c>
      <c r="K161" s="8" t="s">
        <v>146</v>
      </c>
      <c r="L161" s="10" t="s">
        <v>144</v>
      </c>
      <c r="M161" s="8" t="s">
        <v>144</v>
      </c>
      <c r="N161" s="10" t="s">
        <v>773</v>
      </c>
      <c r="O161" s="11" t="s">
        <v>774</v>
      </c>
      <c r="P161" s="8" t="s">
        <v>775</v>
      </c>
      <c r="Q161" s="10"/>
      <c r="R161" s="10" t="s">
        <v>87</v>
      </c>
      <c r="S161" s="10"/>
    </row>
    <row r="162" customFormat="false" ht="46.25" hidden="false" customHeight="false" outlineLevel="0" collapsed="false">
      <c r="A162" s="8" t="s">
        <v>776</v>
      </c>
      <c r="B162" s="8" t="s">
        <v>157</v>
      </c>
      <c r="C162" s="8" t="s">
        <v>74</v>
      </c>
      <c r="D162" s="8" t="s">
        <v>777</v>
      </c>
      <c r="E162" s="9" t="n">
        <f aca="false">IF(C162="inhibition",-1,1)</f>
        <v>1</v>
      </c>
      <c r="F162" s="10" t="s">
        <v>138</v>
      </c>
      <c r="G162" s="10" t="s">
        <v>195</v>
      </c>
      <c r="H162" s="10" t="s">
        <v>173</v>
      </c>
      <c r="I162" s="8" t="s">
        <v>127</v>
      </c>
      <c r="J162" s="10" t="s">
        <v>108</v>
      </c>
      <c r="K162" s="8" t="s">
        <v>81</v>
      </c>
      <c r="L162" s="10" t="s">
        <v>92</v>
      </c>
      <c r="M162" s="8" t="s">
        <v>82</v>
      </c>
      <c r="N162" s="10" t="s">
        <v>778</v>
      </c>
      <c r="O162" s="8"/>
      <c r="P162" s="8"/>
      <c r="Q162" s="10"/>
      <c r="R162" s="10" t="s">
        <v>198</v>
      </c>
      <c r="S162" s="10"/>
    </row>
    <row r="163" customFormat="false" ht="57.45" hidden="false" customHeight="false" outlineLevel="0" collapsed="false">
      <c r="A163" s="8" t="s">
        <v>779</v>
      </c>
      <c r="B163" s="8" t="s">
        <v>727</v>
      </c>
      <c r="C163" s="8" t="s">
        <v>134</v>
      </c>
      <c r="D163" s="8" t="s">
        <v>777</v>
      </c>
      <c r="E163" s="9" t="n">
        <f aca="false">IF(C163="inhibition",-1,1)</f>
        <v>-1</v>
      </c>
      <c r="F163" s="10" t="s">
        <v>195</v>
      </c>
      <c r="G163" s="10" t="s">
        <v>195</v>
      </c>
      <c r="H163" s="10" t="s">
        <v>436</v>
      </c>
      <c r="I163" s="8" t="s">
        <v>79</v>
      </c>
      <c r="J163" s="10" t="s">
        <v>108</v>
      </c>
      <c r="K163" s="8" t="s">
        <v>81</v>
      </c>
      <c r="L163" s="10" t="s">
        <v>437</v>
      </c>
      <c r="M163" s="8" t="s">
        <v>438</v>
      </c>
      <c r="N163" s="10" t="s">
        <v>780</v>
      </c>
      <c r="O163" s="11" t="s">
        <v>781</v>
      </c>
      <c r="P163" s="8" t="s">
        <v>782</v>
      </c>
      <c r="Q163" s="10"/>
      <c r="R163" s="10" t="s">
        <v>87</v>
      </c>
      <c r="S163" s="10"/>
    </row>
    <row r="164" customFormat="false" ht="46.25" hidden="false" customHeight="false" outlineLevel="0" collapsed="false">
      <c r="A164" s="8" t="s">
        <v>783</v>
      </c>
      <c r="B164" s="8" t="s">
        <v>527</v>
      </c>
      <c r="C164" s="8" t="s">
        <v>74</v>
      </c>
      <c r="D164" s="8" t="s">
        <v>113</v>
      </c>
      <c r="E164" s="9" t="n">
        <f aca="false">IF(C164="inhibition",-1,1)</f>
        <v>1</v>
      </c>
      <c r="F164" s="10" t="s">
        <v>389</v>
      </c>
      <c r="G164" s="10" t="s">
        <v>114</v>
      </c>
      <c r="H164" s="10" t="s">
        <v>173</v>
      </c>
      <c r="I164" s="8" t="s">
        <v>127</v>
      </c>
      <c r="J164" s="10" t="s">
        <v>108</v>
      </c>
      <c r="K164" s="8" t="s">
        <v>81</v>
      </c>
      <c r="L164" s="10" t="s">
        <v>115</v>
      </c>
      <c r="M164" s="8" t="s">
        <v>82</v>
      </c>
      <c r="N164" s="10" t="s">
        <v>784</v>
      </c>
      <c r="O164" s="11" t="s">
        <v>785</v>
      </c>
      <c r="P164" s="8" t="s">
        <v>786</v>
      </c>
      <c r="Q164" s="10"/>
      <c r="R164" s="10" t="s">
        <v>87</v>
      </c>
      <c r="S164" s="10"/>
    </row>
    <row r="165" customFormat="false" ht="35.05" hidden="false" customHeight="false" outlineLevel="0" collapsed="false">
      <c r="A165" s="8" t="s">
        <v>787</v>
      </c>
      <c r="B165" s="8" t="s">
        <v>788</v>
      </c>
      <c r="C165" s="8" t="s">
        <v>74</v>
      </c>
      <c r="D165" s="8" t="s">
        <v>113</v>
      </c>
      <c r="E165" s="9" t="n">
        <f aca="false">IF(C165="inhibition",-1,1)</f>
        <v>1</v>
      </c>
      <c r="F165" s="10" t="s">
        <v>114</v>
      </c>
      <c r="G165" s="10" t="s">
        <v>114</v>
      </c>
      <c r="H165" s="10" t="s">
        <v>144</v>
      </c>
      <c r="I165" s="8" t="s">
        <v>145</v>
      </c>
      <c r="J165" s="10" t="s">
        <v>144</v>
      </c>
      <c r="K165" s="8" t="s">
        <v>146</v>
      </c>
      <c r="L165" s="10" t="s">
        <v>144</v>
      </c>
      <c r="M165" s="8" t="s">
        <v>144</v>
      </c>
      <c r="N165" s="10" t="s">
        <v>789</v>
      </c>
      <c r="O165" s="11" t="s">
        <v>790</v>
      </c>
      <c r="P165" s="8" t="s">
        <v>791</v>
      </c>
      <c r="Q165" s="10"/>
      <c r="R165" s="10" t="s">
        <v>87</v>
      </c>
      <c r="S165" s="10"/>
    </row>
    <row r="166" customFormat="false" ht="46.25" hidden="false" customHeight="false" outlineLevel="0" collapsed="false">
      <c r="A166" s="8" t="s">
        <v>792</v>
      </c>
      <c r="B166" s="8" t="s">
        <v>179</v>
      </c>
      <c r="C166" s="8" t="s">
        <v>74</v>
      </c>
      <c r="D166" s="8" t="s">
        <v>113</v>
      </c>
      <c r="E166" s="9" t="n">
        <f aca="false">IF(C166="inhibition",-1,1)</f>
        <v>1</v>
      </c>
      <c r="F166" s="10" t="s">
        <v>180</v>
      </c>
      <c r="G166" s="10" t="s">
        <v>114</v>
      </c>
      <c r="H166" s="10" t="s">
        <v>90</v>
      </c>
      <c r="I166" s="8" t="s">
        <v>79</v>
      </c>
      <c r="J166" s="10" t="s">
        <v>98</v>
      </c>
      <c r="K166" s="8" t="s">
        <v>99</v>
      </c>
      <c r="L166" s="10" t="s">
        <v>144</v>
      </c>
      <c r="M166" s="8" t="s">
        <v>144</v>
      </c>
      <c r="N166" s="10" t="s">
        <v>793</v>
      </c>
      <c r="O166" s="11" t="s">
        <v>794</v>
      </c>
      <c r="P166" s="8" t="s">
        <v>795</v>
      </c>
      <c r="Q166" s="10"/>
      <c r="R166" s="10" t="s">
        <v>87</v>
      </c>
      <c r="S166" s="10" t="s">
        <v>796</v>
      </c>
    </row>
    <row r="167" customFormat="false" ht="46.25" hidden="false" customHeight="false" outlineLevel="0" collapsed="false">
      <c r="A167" s="8" t="s">
        <v>797</v>
      </c>
      <c r="B167" s="8" t="s">
        <v>592</v>
      </c>
      <c r="C167" s="8" t="s">
        <v>74</v>
      </c>
      <c r="D167" s="8" t="s">
        <v>798</v>
      </c>
      <c r="E167" s="9" t="n">
        <f aca="false">IF(C167="inhibition",-1,1)</f>
        <v>1</v>
      </c>
      <c r="F167" s="10" t="s">
        <v>389</v>
      </c>
      <c r="G167" s="10" t="s">
        <v>389</v>
      </c>
      <c r="H167" s="10" t="s">
        <v>208</v>
      </c>
      <c r="I167" s="8" t="s">
        <v>127</v>
      </c>
      <c r="J167" s="10" t="s">
        <v>98</v>
      </c>
      <c r="K167" s="8" t="s">
        <v>99</v>
      </c>
      <c r="L167" s="10" t="s">
        <v>92</v>
      </c>
      <c r="M167" s="8" t="s">
        <v>82</v>
      </c>
      <c r="N167" s="10" t="s">
        <v>799</v>
      </c>
      <c r="O167" s="11" t="s">
        <v>800</v>
      </c>
      <c r="P167" s="8" t="s">
        <v>801</v>
      </c>
      <c r="Q167" s="10"/>
      <c r="R167" s="10" t="s">
        <v>87</v>
      </c>
      <c r="S167" s="10"/>
    </row>
    <row r="168" customFormat="false" ht="68.65" hidden="false" customHeight="false" outlineLevel="0" collapsed="false">
      <c r="A168" s="8" t="s">
        <v>802</v>
      </c>
      <c r="B168" s="8" t="s">
        <v>803</v>
      </c>
      <c r="C168" s="8" t="s">
        <v>134</v>
      </c>
      <c r="D168" s="8" t="s">
        <v>798</v>
      </c>
      <c r="E168" s="9" t="n">
        <f aca="false">IF(C168="inhibition",-1,1)</f>
        <v>-1</v>
      </c>
      <c r="F168" s="10" t="s">
        <v>389</v>
      </c>
      <c r="G168" s="10" t="s">
        <v>389</v>
      </c>
      <c r="H168" s="10" t="s">
        <v>196</v>
      </c>
      <c r="I168" s="8" t="s">
        <v>145</v>
      </c>
      <c r="J168" s="10" t="s">
        <v>144</v>
      </c>
      <c r="K168" s="8" t="s">
        <v>146</v>
      </c>
      <c r="L168" s="10" t="s">
        <v>144</v>
      </c>
      <c r="M168" s="8" t="s">
        <v>144</v>
      </c>
      <c r="N168" s="10" t="s">
        <v>804</v>
      </c>
      <c r="O168" s="11" t="s">
        <v>805</v>
      </c>
      <c r="P168" s="8" t="s">
        <v>806</v>
      </c>
      <c r="Q168" s="10"/>
      <c r="R168" s="10" t="s">
        <v>481</v>
      </c>
      <c r="S168" s="10"/>
    </row>
    <row r="169" customFormat="false" ht="68.65" hidden="false" customHeight="false" outlineLevel="0" collapsed="false">
      <c r="A169" s="8" t="s">
        <v>807</v>
      </c>
      <c r="B169" s="8" t="s">
        <v>808</v>
      </c>
      <c r="C169" s="8" t="s">
        <v>134</v>
      </c>
      <c r="D169" s="8" t="s">
        <v>798</v>
      </c>
      <c r="E169" s="9" t="n">
        <f aca="false">IF(C169="inhibition",-1,1)</f>
        <v>-1</v>
      </c>
      <c r="F169" s="10" t="s">
        <v>389</v>
      </c>
      <c r="G169" s="10" t="s">
        <v>389</v>
      </c>
      <c r="H169" s="10" t="s">
        <v>196</v>
      </c>
      <c r="I169" s="8" t="s">
        <v>145</v>
      </c>
      <c r="J169" s="10" t="s">
        <v>144</v>
      </c>
      <c r="K169" s="8" t="s">
        <v>146</v>
      </c>
      <c r="L169" s="10" t="s">
        <v>144</v>
      </c>
      <c r="M169" s="8" t="s">
        <v>144</v>
      </c>
      <c r="N169" s="10" t="s">
        <v>804</v>
      </c>
      <c r="O169" s="11" t="s">
        <v>805</v>
      </c>
      <c r="P169" s="8" t="s">
        <v>806</v>
      </c>
      <c r="Q169" s="10"/>
      <c r="R169" s="10" t="s">
        <v>481</v>
      </c>
      <c r="S169" s="10"/>
    </row>
    <row r="170" customFormat="false" ht="91" hidden="false" customHeight="false" outlineLevel="0" collapsed="false">
      <c r="A170" s="8" t="s">
        <v>809</v>
      </c>
      <c r="B170" s="8" t="s">
        <v>810</v>
      </c>
      <c r="C170" s="8" t="s">
        <v>74</v>
      </c>
      <c r="D170" s="8" t="s">
        <v>811</v>
      </c>
      <c r="E170" s="9" t="n">
        <f aca="false">IF(C170="inhibition",-1,1)</f>
        <v>1</v>
      </c>
      <c r="F170" s="10" t="s">
        <v>389</v>
      </c>
      <c r="G170" s="10" t="s">
        <v>195</v>
      </c>
      <c r="H170" s="10" t="s">
        <v>144</v>
      </c>
      <c r="I170" s="8" t="s">
        <v>145</v>
      </c>
      <c r="J170" s="10" t="s">
        <v>144</v>
      </c>
      <c r="K170" s="8" t="s">
        <v>146</v>
      </c>
      <c r="L170" s="10" t="s">
        <v>144</v>
      </c>
      <c r="M170" s="8" t="s">
        <v>144</v>
      </c>
      <c r="N170" s="10" t="s">
        <v>812</v>
      </c>
      <c r="O170" s="11" t="s">
        <v>813</v>
      </c>
      <c r="P170" s="8" t="s">
        <v>814</v>
      </c>
      <c r="Q170" s="10" t="s">
        <v>815</v>
      </c>
      <c r="R170" s="10" t="s">
        <v>87</v>
      </c>
      <c r="S170" s="10"/>
    </row>
    <row r="171" customFormat="false" ht="46.25" hidden="false" customHeight="false" outlineLevel="0" collapsed="false">
      <c r="A171" s="8" t="s">
        <v>816</v>
      </c>
      <c r="B171" s="8" t="s">
        <v>803</v>
      </c>
      <c r="C171" s="8" t="s">
        <v>74</v>
      </c>
      <c r="D171" s="8" t="s">
        <v>811</v>
      </c>
      <c r="E171" s="9" t="n">
        <f aca="false">IF(C171="inhibition",-1,1)</f>
        <v>1</v>
      </c>
      <c r="F171" s="10" t="s">
        <v>389</v>
      </c>
      <c r="G171" s="10" t="s">
        <v>195</v>
      </c>
      <c r="H171" s="10" t="s">
        <v>90</v>
      </c>
      <c r="I171" s="8" t="s">
        <v>79</v>
      </c>
      <c r="J171" s="10" t="s">
        <v>81</v>
      </c>
      <c r="K171" s="8" t="s">
        <v>81</v>
      </c>
      <c r="L171" s="10" t="s">
        <v>92</v>
      </c>
      <c r="M171" s="8" t="s">
        <v>82</v>
      </c>
      <c r="N171" s="10" t="s">
        <v>817</v>
      </c>
      <c r="O171" s="11" t="s">
        <v>818</v>
      </c>
      <c r="P171" s="8" t="s">
        <v>819</v>
      </c>
      <c r="Q171" s="10"/>
      <c r="R171" s="10" t="s">
        <v>87</v>
      </c>
      <c r="S171" s="10"/>
    </row>
    <row r="172" customFormat="false" ht="46.25" hidden="false" customHeight="false" outlineLevel="0" collapsed="false">
      <c r="A172" s="8" t="s">
        <v>820</v>
      </c>
      <c r="B172" s="8" t="s">
        <v>808</v>
      </c>
      <c r="C172" s="8" t="s">
        <v>74</v>
      </c>
      <c r="D172" s="8" t="s">
        <v>811</v>
      </c>
      <c r="E172" s="9" t="n">
        <f aca="false">IF(C172="inhibition",-1,1)</f>
        <v>1</v>
      </c>
      <c r="F172" s="10" t="s">
        <v>389</v>
      </c>
      <c r="G172" s="10" t="s">
        <v>195</v>
      </c>
      <c r="H172" s="10" t="s">
        <v>90</v>
      </c>
      <c r="I172" s="8" t="s">
        <v>79</v>
      </c>
      <c r="J172" s="10" t="s">
        <v>81</v>
      </c>
      <c r="K172" s="8" t="s">
        <v>81</v>
      </c>
      <c r="L172" s="10" t="s">
        <v>92</v>
      </c>
      <c r="M172" s="8" t="s">
        <v>82</v>
      </c>
      <c r="N172" s="10" t="s">
        <v>817</v>
      </c>
      <c r="O172" s="11" t="s">
        <v>818</v>
      </c>
      <c r="P172" s="8" t="s">
        <v>819</v>
      </c>
      <c r="Q172" s="10"/>
      <c r="R172" s="10" t="s">
        <v>87</v>
      </c>
      <c r="S172" s="10"/>
    </row>
    <row r="173" customFormat="false" ht="57.45" hidden="false" customHeight="false" outlineLevel="0" collapsed="false">
      <c r="A173" s="8" t="s">
        <v>821</v>
      </c>
      <c r="B173" s="8" t="s">
        <v>165</v>
      </c>
      <c r="C173" s="8" t="s">
        <v>134</v>
      </c>
      <c r="D173" s="8" t="s">
        <v>811</v>
      </c>
      <c r="E173" s="9" t="n">
        <f aca="false">IF(C173="inhibition",-1,1)</f>
        <v>-1</v>
      </c>
      <c r="F173" s="10" t="s">
        <v>138</v>
      </c>
      <c r="G173" s="10" t="s">
        <v>195</v>
      </c>
      <c r="H173" s="10" t="s">
        <v>196</v>
      </c>
      <c r="I173" s="8" t="s">
        <v>145</v>
      </c>
      <c r="J173" s="10" t="s">
        <v>144</v>
      </c>
      <c r="K173" s="8" t="s">
        <v>146</v>
      </c>
      <c r="L173" s="10" t="s">
        <v>144</v>
      </c>
      <c r="M173" s="8" t="s">
        <v>144</v>
      </c>
      <c r="N173" s="10" t="s">
        <v>822</v>
      </c>
      <c r="O173" s="11" t="s">
        <v>823</v>
      </c>
      <c r="P173" s="8" t="s">
        <v>824</v>
      </c>
      <c r="Q173" s="10"/>
      <c r="R173" s="10" t="s">
        <v>87</v>
      </c>
      <c r="S173" s="10"/>
    </row>
    <row r="174" customFormat="false" ht="46.25" hidden="false" customHeight="false" outlineLevel="0" collapsed="false">
      <c r="A174" s="8" t="s">
        <v>825</v>
      </c>
      <c r="B174" s="8" t="s">
        <v>315</v>
      </c>
      <c r="C174" s="8" t="s">
        <v>74</v>
      </c>
      <c r="D174" s="8" t="s">
        <v>511</v>
      </c>
      <c r="E174" s="9" t="n">
        <f aca="false">IF(C174="inhibition",-1,1)</f>
        <v>1</v>
      </c>
      <c r="F174" s="10" t="s">
        <v>166</v>
      </c>
      <c r="G174" s="10" t="s">
        <v>195</v>
      </c>
      <c r="H174" s="10" t="s">
        <v>196</v>
      </c>
      <c r="I174" s="8" t="s">
        <v>145</v>
      </c>
      <c r="J174" s="10" t="s">
        <v>144</v>
      </c>
      <c r="K174" s="8" t="s">
        <v>146</v>
      </c>
      <c r="L174" s="10" t="s">
        <v>144</v>
      </c>
      <c r="M174" s="8" t="s">
        <v>144</v>
      </c>
      <c r="N174" s="10" t="s">
        <v>826</v>
      </c>
      <c r="O174" s="11" t="s">
        <v>827</v>
      </c>
      <c r="P174" s="8" t="s">
        <v>828</v>
      </c>
      <c r="Q174" s="10"/>
      <c r="R174" s="10" t="s">
        <v>87</v>
      </c>
      <c r="S174" s="10"/>
    </row>
    <row r="175" customFormat="false" ht="46.25" hidden="false" customHeight="false" outlineLevel="0" collapsed="false">
      <c r="A175" s="8" t="s">
        <v>829</v>
      </c>
      <c r="B175" s="8" t="s">
        <v>179</v>
      </c>
      <c r="C175" s="8" t="s">
        <v>74</v>
      </c>
      <c r="D175" s="8" t="s">
        <v>511</v>
      </c>
      <c r="E175" s="9" t="n">
        <f aca="false">IF(C175="inhibition",-1,1)</f>
        <v>1</v>
      </c>
      <c r="F175" s="10" t="s">
        <v>180</v>
      </c>
      <c r="G175" s="10" t="s">
        <v>195</v>
      </c>
      <c r="H175" s="10" t="s">
        <v>90</v>
      </c>
      <c r="I175" s="8" t="s">
        <v>79</v>
      </c>
      <c r="J175" s="10" t="s">
        <v>81</v>
      </c>
      <c r="K175" s="8" t="s">
        <v>81</v>
      </c>
      <c r="L175" s="10" t="s">
        <v>92</v>
      </c>
      <c r="M175" s="8" t="s">
        <v>82</v>
      </c>
      <c r="N175" s="10" t="s">
        <v>243</v>
      </c>
      <c r="O175" s="11" t="s">
        <v>244</v>
      </c>
      <c r="P175" s="8" t="s">
        <v>245</v>
      </c>
      <c r="Q175" s="10"/>
      <c r="R175" s="10" t="s">
        <v>87</v>
      </c>
      <c r="S175" s="10"/>
    </row>
    <row r="176" customFormat="false" ht="57.45" hidden="false" customHeight="false" outlineLevel="0" collapsed="false">
      <c r="A176" s="8" t="s">
        <v>830</v>
      </c>
      <c r="B176" s="8" t="s">
        <v>831</v>
      </c>
      <c r="C176" s="8" t="s">
        <v>74</v>
      </c>
      <c r="D176" s="8" t="s">
        <v>519</v>
      </c>
      <c r="E176" s="9" t="n">
        <f aca="false">IF(C176="inhibition",-1,1)</f>
        <v>1</v>
      </c>
      <c r="F176" s="10" t="s">
        <v>114</v>
      </c>
      <c r="G176" s="10" t="s">
        <v>114</v>
      </c>
      <c r="H176" s="10" t="s">
        <v>832</v>
      </c>
      <c r="I176" s="8" t="s">
        <v>145</v>
      </c>
      <c r="J176" s="10" t="s">
        <v>144</v>
      </c>
      <c r="K176" s="8" t="s">
        <v>146</v>
      </c>
      <c r="L176" s="10" t="s">
        <v>144</v>
      </c>
      <c r="M176" s="8" t="s">
        <v>144</v>
      </c>
      <c r="N176" s="10" t="s">
        <v>833</v>
      </c>
      <c r="O176" s="11" t="s">
        <v>834</v>
      </c>
      <c r="P176" s="8" t="s">
        <v>835</v>
      </c>
      <c r="Q176" s="10"/>
      <c r="R176" s="10" t="s">
        <v>87</v>
      </c>
      <c r="S176" s="10"/>
    </row>
    <row r="177" customFormat="false" ht="57.45" hidden="false" customHeight="false" outlineLevel="0" collapsed="false">
      <c r="A177" s="8" t="s">
        <v>836</v>
      </c>
      <c r="B177" s="8" t="s">
        <v>837</v>
      </c>
      <c r="C177" s="8" t="s">
        <v>74</v>
      </c>
      <c r="D177" s="8" t="s">
        <v>524</v>
      </c>
      <c r="E177" s="9" t="n">
        <f aca="false">IF(C177="inhibition",-1,1)</f>
        <v>1</v>
      </c>
      <c r="F177" s="10" t="s">
        <v>114</v>
      </c>
      <c r="G177" s="10" t="s">
        <v>114</v>
      </c>
      <c r="H177" s="10" t="s">
        <v>832</v>
      </c>
      <c r="I177" s="8" t="s">
        <v>145</v>
      </c>
      <c r="J177" s="10" t="s">
        <v>144</v>
      </c>
      <c r="K177" s="8" t="s">
        <v>146</v>
      </c>
      <c r="L177" s="10" t="s">
        <v>144</v>
      </c>
      <c r="M177" s="8" t="s">
        <v>144</v>
      </c>
      <c r="N177" s="10" t="s">
        <v>833</v>
      </c>
      <c r="O177" s="11" t="s">
        <v>834</v>
      </c>
      <c r="P177" s="8" t="s">
        <v>835</v>
      </c>
      <c r="Q177" s="10"/>
      <c r="R177" s="10" t="s">
        <v>87</v>
      </c>
      <c r="S177" s="10"/>
    </row>
    <row r="178" customFormat="false" ht="35.05" hidden="false" customHeight="false" outlineLevel="0" collapsed="false">
      <c r="A178" s="8" t="s">
        <v>838</v>
      </c>
      <c r="B178" s="8" t="s">
        <v>511</v>
      </c>
      <c r="C178" s="8" t="s">
        <v>74</v>
      </c>
      <c r="D178" s="8" t="s">
        <v>839</v>
      </c>
      <c r="E178" s="9" t="n">
        <f aca="false">IF(C178="inhibition",-1,1)</f>
        <v>1</v>
      </c>
      <c r="F178" s="10" t="s">
        <v>195</v>
      </c>
      <c r="G178" s="10" t="s">
        <v>114</v>
      </c>
      <c r="H178" s="10" t="s">
        <v>144</v>
      </c>
      <c r="I178" s="8" t="s">
        <v>145</v>
      </c>
      <c r="J178" s="10" t="s">
        <v>144</v>
      </c>
      <c r="K178" s="8" t="s">
        <v>146</v>
      </c>
      <c r="L178" s="10" t="s">
        <v>144</v>
      </c>
      <c r="M178" s="8" t="s">
        <v>144</v>
      </c>
      <c r="N178" s="10" t="s">
        <v>840</v>
      </c>
      <c r="O178" s="11" t="s">
        <v>841</v>
      </c>
      <c r="P178" s="8" t="s">
        <v>842</v>
      </c>
      <c r="Q178" s="10"/>
      <c r="R178" s="10" t="s">
        <v>87</v>
      </c>
      <c r="S178" s="10"/>
    </row>
    <row r="179" customFormat="false" ht="35.05" hidden="false" customHeight="false" outlineLevel="0" collapsed="false">
      <c r="A179" s="8" t="s">
        <v>843</v>
      </c>
      <c r="B179" s="8" t="s">
        <v>511</v>
      </c>
      <c r="C179" s="8" t="s">
        <v>74</v>
      </c>
      <c r="D179" s="8" t="s">
        <v>788</v>
      </c>
      <c r="E179" s="9" t="n">
        <f aca="false">IF(C179="inhibition",-1,1)</f>
        <v>1</v>
      </c>
      <c r="F179" s="10" t="s">
        <v>195</v>
      </c>
      <c r="G179" s="10" t="s">
        <v>114</v>
      </c>
      <c r="H179" s="10" t="s">
        <v>144</v>
      </c>
      <c r="I179" s="8" t="s">
        <v>145</v>
      </c>
      <c r="J179" s="10" t="s">
        <v>144</v>
      </c>
      <c r="K179" s="8" t="s">
        <v>146</v>
      </c>
      <c r="L179" s="10" t="s">
        <v>144</v>
      </c>
      <c r="M179" s="8" t="s">
        <v>144</v>
      </c>
      <c r="N179" s="10" t="s">
        <v>789</v>
      </c>
      <c r="O179" s="11" t="s">
        <v>790</v>
      </c>
      <c r="P179" s="8" t="s">
        <v>791</v>
      </c>
      <c r="Q179" s="10"/>
      <c r="R179" s="10" t="s">
        <v>87</v>
      </c>
      <c r="S179" s="10"/>
    </row>
    <row r="180" customFormat="false" ht="68.65" hidden="false" customHeight="false" outlineLevel="0" collapsed="false">
      <c r="A180" s="8" t="s">
        <v>844</v>
      </c>
      <c r="B180" s="8" t="s">
        <v>201</v>
      </c>
      <c r="C180" s="8" t="s">
        <v>74</v>
      </c>
      <c r="D180" s="8" t="s">
        <v>845</v>
      </c>
      <c r="E180" s="9" t="n">
        <f aca="false">IF(C180="inhibition",-1,1)</f>
        <v>1</v>
      </c>
      <c r="F180" s="10" t="s">
        <v>76</v>
      </c>
      <c r="G180" s="10" t="s">
        <v>107</v>
      </c>
      <c r="H180" s="10" t="s">
        <v>173</v>
      </c>
      <c r="I180" s="8" t="s">
        <v>127</v>
      </c>
      <c r="J180" s="10" t="s">
        <v>108</v>
      </c>
      <c r="K180" s="8" t="s">
        <v>81</v>
      </c>
      <c r="L180" s="10" t="s">
        <v>92</v>
      </c>
      <c r="M180" s="8" t="s">
        <v>82</v>
      </c>
      <c r="N180" s="10" t="s">
        <v>846</v>
      </c>
      <c r="O180" s="11" t="s">
        <v>847</v>
      </c>
      <c r="P180" s="8" t="s">
        <v>848</v>
      </c>
      <c r="Q180" s="10"/>
      <c r="R180" s="10" t="s">
        <v>87</v>
      </c>
      <c r="S180" s="10"/>
    </row>
    <row r="181" customFormat="false" ht="46.25" hidden="false" customHeight="false" outlineLevel="0" collapsed="false">
      <c r="A181" s="8" t="s">
        <v>849</v>
      </c>
      <c r="B181" s="8" t="s">
        <v>120</v>
      </c>
      <c r="C181" s="8" t="s">
        <v>74</v>
      </c>
      <c r="D181" s="8" t="s">
        <v>845</v>
      </c>
      <c r="E181" s="9" t="n">
        <f aca="false">IF(C181="inhibition",-1,1)</f>
        <v>1</v>
      </c>
      <c r="F181" s="10" t="s">
        <v>76</v>
      </c>
      <c r="G181" s="10" t="s">
        <v>107</v>
      </c>
      <c r="H181" s="10" t="s">
        <v>144</v>
      </c>
      <c r="I181" s="8" t="s">
        <v>145</v>
      </c>
      <c r="J181" s="10" t="s">
        <v>91</v>
      </c>
      <c r="K181" s="8" t="s">
        <v>81</v>
      </c>
      <c r="L181" s="10" t="s">
        <v>92</v>
      </c>
      <c r="M181" s="8" t="s">
        <v>82</v>
      </c>
      <c r="N181" s="10" t="s">
        <v>743</v>
      </c>
      <c r="O181" s="8"/>
      <c r="P181" s="8"/>
      <c r="Q181" s="10"/>
      <c r="R181" s="10" t="s">
        <v>198</v>
      </c>
      <c r="S181" s="10"/>
    </row>
    <row r="182" customFormat="false" ht="35.05" hidden="false" customHeight="false" outlineLevel="0" collapsed="false">
      <c r="A182" s="8" t="s">
        <v>850</v>
      </c>
      <c r="B182" s="8" t="s">
        <v>377</v>
      </c>
      <c r="C182" s="8" t="s">
        <v>74</v>
      </c>
      <c r="D182" s="8" t="s">
        <v>845</v>
      </c>
      <c r="E182" s="9" t="n">
        <f aca="false">IF(C182="inhibition",-1,1)</f>
        <v>1</v>
      </c>
      <c r="F182" s="10" t="s">
        <v>76</v>
      </c>
      <c r="G182" s="10" t="s">
        <v>107</v>
      </c>
      <c r="H182" s="10" t="s">
        <v>537</v>
      </c>
      <c r="I182" s="8" t="s">
        <v>145</v>
      </c>
      <c r="J182" s="10" t="s">
        <v>144</v>
      </c>
      <c r="K182" s="8" t="s">
        <v>146</v>
      </c>
      <c r="L182" s="10" t="s">
        <v>144</v>
      </c>
      <c r="M182" s="8" t="s">
        <v>144</v>
      </c>
      <c r="N182" s="10" t="s">
        <v>851</v>
      </c>
      <c r="O182" s="11" t="s">
        <v>852</v>
      </c>
      <c r="P182" s="8" t="s">
        <v>853</v>
      </c>
      <c r="Q182" s="10"/>
      <c r="R182" s="10" t="s">
        <v>87</v>
      </c>
      <c r="S182" s="10"/>
    </row>
    <row r="183" customFormat="false" ht="46.25" hidden="false" customHeight="false" outlineLevel="0" collapsed="false">
      <c r="A183" s="8" t="s">
        <v>854</v>
      </c>
      <c r="B183" s="8" t="s">
        <v>97</v>
      </c>
      <c r="C183" s="8" t="s">
        <v>134</v>
      </c>
      <c r="D183" s="8" t="s">
        <v>845</v>
      </c>
      <c r="E183" s="9" t="n">
        <f aca="false">IF(C183="inhibition",-1,1)</f>
        <v>-1</v>
      </c>
      <c r="F183" s="10" t="s">
        <v>76</v>
      </c>
      <c r="G183" s="10" t="s">
        <v>107</v>
      </c>
      <c r="H183" s="10" t="s">
        <v>208</v>
      </c>
      <c r="I183" s="8" t="s">
        <v>127</v>
      </c>
      <c r="J183" s="10" t="s">
        <v>108</v>
      </c>
      <c r="K183" s="8" t="s">
        <v>81</v>
      </c>
      <c r="L183" s="10" t="s">
        <v>92</v>
      </c>
      <c r="M183" s="8" t="s">
        <v>82</v>
      </c>
      <c r="N183" s="10" t="s">
        <v>855</v>
      </c>
      <c r="O183" s="11" t="s">
        <v>856</v>
      </c>
      <c r="P183" s="8" t="s">
        <v>857</v>
      </c>
      <c r="Q183" s="10"/>
      <c r="R183" s="10" t="s">
        <v>87</v>
      </c>
      <c r="S183" s="10"/>
    </row>
    <row r="184" customFormat="false" ht="57.45" hidden="false" customHeight="false" outlineLevel="0" collapsed="false">
      <c r="A184" s="8" t="s">
        <v>858</v>
      </c>
      <c r="B184" s="8" t="s">
        <v>201</v>
      </c>
      <c r="C184" s="8" t="s">
        <v>74</v>
      </c>
      <c r="D184" s="8" t="s">
        <v>859</v>
      </c>
      <c r="E184" s="9" t="n">
        <f aca="false">IF(C184="inhibition",-1,1)</f>
        <v>1</v>
      </c>
      <c r="F184" s="10" t="s">
        <v>76</v>
      </c>
      <c r="G184" s="10" t="s">
        <v>107</v>
      </c>
      <c r="H184" s="10" t="s">
        <v>90</v>
      </c>
      <c r="I184" s="8" t="s">
        <v>79</v>
      </c>
      <c r="J184" s="10" t="s">
        <v>91</v>
      </c>
      <c r="K184" s="8" t="s">
        <v>81</v>
      </c>
      <c r="L184" s="10" t="s">
        <v>92</v>
      </c>
      <c r="M184" s="8" t="s">
        <v>82</v>
      </c>
      <c r="N184" s="10" t="s">
        <v>860</v>
      </c>
      <c r="O184" s="11" t="s">
        <v>741</v>
      </c>
      <c r="P184" s="8" t="s">
        <v>861</v>
      </c>
      <c r="Q184" s="10"/>
      <c r="R184" s="10" t="s">
        <v>87</v>
      </c>
      <c r="S184" s="10"/>
    </row>
    <row r="185" customFormat="false" ht="46.25" hidden="false" customHeight="false" outlineLevel="0" collapsed="false">
      <c r="A185" s="8" t="s">
        <v>862</v>
      </c>
      <c r="B185" s="8" t="s">
        <v>105</v>
      </c>
      <c r="C185" s="8" t="s">
        <v>74</v>
      </c>
      <c r="D185" s="8" t="s">
        <v>859</v>
      </c>
      <c r="E185" s="9" t="n">
        <f aca="false">IF(C185="inhibition",-1,1)</f>
        <v>1</v>
      </c>
      <c r="F185" s="10" t="s">
        <v>76</v>
      </c>
      <c r="G185" s="10" t="s">
        <v>107</v>
      </c>
      <c r="H185" s="10" t="s">
        <v>90</v>
      </c>
      <c r="I185" s="8" t="s">
        <v>79</v>
      </c>
      <c r="J185" s="10" t="s">
        <v>108</v>
      </c>
      <c r="K185" s="8" t="s">
        <v>81</v>
      </c>
      <c r="L185" s="10" t="s">
        <v>92</v>
      </c>
      <c r="M185" s="8" t="s">
        <v>82</v>
      </c>
      <c r="N185" s="10" t="s">
        <v>109</v>
      </c>
      <c r="O185" s="11" t="s">
        <v>110</v>
      </c>
      <c r="P185" s="8" t="s">
        <v>111</v>
      </c>
      <c r="Q185" s="10"/>
      <c r="R185" s="10" t="s">
        <v>87</v>
      </c>
      <c r="S185" s="10"/>
    </row>
    <row r="186" customFormat="false" ht="57.45" hidden="false" customHeight="false" outlineLevel="0" collapsed="false">
      <c r="A186" s="8" t="s">
        <v>863</v>
      </c>
      <c r="B186" s="8" t="s">
        <v>419</v>
      </c>
      <c r="C186" s="8" t="s">
        <v>74</v>
      </c>
      <c r="D186" s="8" t="s">
        <v>859</v>
      </c>
      <c r="E186" s="9" t="n">
        <f aca="false">IF(C186="inhibition",-1,1)</f>
        <v>1</v>
      </c>
      <c r="F186" s="10" t="s">
        <v>76</v>
      </c>
      <c r="G186" s="10" t="s">
        <v>107</v>
      </c>
      <c r="H186" s="10" t="s">
        <v>90</v>
      </c>
      <c r="I186" s="8" t="s">
        <v>79</v>
      </c>
      <c r="J186" s="10" t="s">
        <v>108</v>
      </c>
      <c r="K186" s="8" t="s">
        <v>81</v>
      </c>
      <c r="L186" s="10" t="s">
        <v>92</v>
      </c>
      <c r="M186" s="8" t="s">
        <v>82</v>
      </c>
      <c r="N186" s="10" t="s">
        <v>864</v>
      </c>
      <c r="O186" s="11" t="s">
        <v>865</v>
      </c>
      <c r="P186" s="8" t="s">
        <v>866</v>
      </c>
      <c r="Q186" s="10"/>
      <c r="R186" s="10" t="s">
        <v>87</v>
      </c>
      <c r="S186" s="10"/>
    </row>
    <row r="187" customFormat="false" ht="46.25" hidden="false" customHeight="false" outlineLevel="0" collapsed="false">
      <c r="A187" s="8" t="s">
        <v>867</v>
      </c>
      <c r="B187" s="8" t="s">
        <v>120</v>
      </c>
      <c r="C187" s="8" t="s">
        <v>74</v>
      </c>
      <c r="D187" s="8" t="s">
        <v>859</v>
      </c>
      <c r="E187" s="9" t="n">
        <f aca="false">IF(C187="inhibition",-1,1)</f>
        <v>1</v>
      </c>
      <c r="F187" s="10" t="s">
        <v>76</v>
      </c>
      <c r="G187" s="10" t="s">
        <v>107</v>
      </c>
      <c r="H187" s="10" t="s">
        <v>90</v>
      </c>
      <c r="I187" s="8" t="s">
        <v>79</v>
      </c>
      <c r="J187" s="10" t="s">
        <v>81</v>
      </c>
      <c r="K187" s="8" t="s">
        <v>81</v>
      </c>
      <c r="L187" s="10" t="s">
        <v>100</v>
      </c>
      <c r="M187" s="8" t="s">
        <v>82</v>
      </c>
      <c r="N187" s="10" t="s">
        <v>450</v>
      </c>
      <c r="O187" s="8"/>
      <c r="P187" s="8"/>
      <c r="Q187" s="10"/>
      <c r="R187" s="10" t="s">
        <v>198</v>
      </c>
      <c r="S187" s="10"/>
    </row>
    <row r="188" customFormat="false" ht="46.25" hidden="false" customHeight="false" outlineLevel="0" collapsed="false">
      <c r="A188" s="8" t="s">
        <v>868</v>
      </c>
      <c r="B188" s="8" t="s">
        <v>452</v>
      </c>
      <c r="C188" s="8" t="s">
        <v>74</v>
      </c>
      <c r="D188" s="8" t="s">
        <v>859</v>
      </c>
      <c r="E188" s="9" t="n">
        <f aca="false">IF(C188="inhibition",-1,1)</f>
        <v>1</v>
      </c>
      <c r="F188" s="10" t="s">
        <v>76</v>
      </c>
      <c r="G188" s="10" t="s">
        <v>107</v>
      </c>
      <c r="H188" s="10" t="s">
        <v>173</v>
      </c>
      <c r="I188" s="8" t="s">
        <v>127</v>
      </c>
      <c r="J188" s="10" t="s">
        <v>664</v>
      </c>
      <c r="K188" s="8" t="s">
        <v>99</v>
      </c>
      <c r="L188" s="10" t="s">
        <v>92</v>
      </c>
      <c r="M188" s="8" t="s">
        <v>82</v>
      </c>
      <c r="N188" s="10" t="s">
        <v>869</v>
      </c>
      <c r="O188" s="11" t="s">
        <v>870</v>
      </c>
      <c r="P188" s="8" t="s">
        <v>871</v>
      </c>
      <c r="Q188" s="10"/>
      <c r="R188" s="10" t="s">
        <v>87</v>
      </c>
      <c r="S188" s="10"/>
    </row>
    <row r="189" customFormat="false" ht="46.25" hidden="false" customHeight="false" outlineLevel="0" collapsed="false">
      <c r="A189" s="8" t="s">
        <v>872</v>
      </c>
      <c r="B189" s="8" t="s">
        <v>289</v>
      </c>
      <c r="C189" s="8" t="s">
        <v>74</v>
      </c>
      <c r="D189" s="8" t="s">
        <v>859</v>
      </c>
      <c r="E189" s="9" t="n">
        <f aca="false">IF(C189="inhibition",-1,1)</f>
        <v>1</v>
      </c>
      <c r="F189" s="10" t="s">
        <v>76</v>
      </c>
      <c r="G189" s="10" t="s">
        <v>107</v>
      </c>
      <c r="H189" s="10" t="s">
        <v>436</v>
      </c>
      <c r="I189" s="8" t="s">
        <v>79</v>
      </c>
      <c r="J189" s="10" t="s">
        <v>873</v>
      </c>
      <c r="K189" s="8" t="s">
        <v>146</v>
      </c>
      <c r="L189" s="10" t="s">
        <v>144</v>
      </c>
      <c r="M189" s="8" t="s">
        <v>144</v>
      </c>
      <c r="N189" s="10" t="s">
        <v>874</v>
      </c>
      <c r="O189" s="11" t="s">
        <v>875</v>
      </c>
      <c r="P189" s="8" t="s">
        <v>876</v>
      </c>
      <c r="Q189" s="10"/>
      <c r="R189" s="10" t="s">
        <v>87</v>
      </c>
      <c r="S189" s="10"/>
    </row>
    <row r="190" customFormat="false" ht="35.05" hidden="false" customHeight="false" outlineLevel="0" collapsed="false">
      <c r="A190" s="8" t="s">
        <v>877</v>
      </c>
      <c r="B190" s="8" t="s">
        <v>377</v>
      </c>
      <c r="C190" s="8" t="s">
        <v>74</v>
      </c>
      <c r="D190" s="8" t="s">
        <v>859</v>
      </c>
      <c r="E190" s="9" t="n">
        <f aca="false">IF(C190="inhibition",-1,1)</f>
        <v>1</v>
      </c>
      <c r="F190" s="10" t="s">
        <v>76</v>
      </c>
      <c r="G190" s="10" t="s">
        <v>107</v>
      </c>
      <c r="H190" s="10" t="s">
        <v>537</v>
      </c>
      <c r="I190" s="8" t="s">
        <v>145</v>
      </c>
      <c r="J190" s="10" t="s">
        <v>144</v>
      </c>
      <c r="K190" s="8" t="s">
        <v>146</v>
      </c>
      <c r="L190" s="10" t="s">
        <v>144</v>
      </c>
      <c r="M190" s="8" t="s">
        <v>144</v>
      </c>
      <c r="N190" s="10" t="s">
        <v>851</v>
      </c>
      <c r="O190" s="11" t="s">
        <v>852</v>
      </c>
      <c r="P190" s="8" t="s">
        <v>853</v>
      </c>
      <c r="Q190" s="10"/>
      <c r="R190" s="10" t="s">
        <v>87</v>
      </c>
      <c r="S190" s="10"/>
    </row>
    <row r="191" customFormat="false" ht="46.25" hidden="false" customHeight="false" outlineLevel="0" collapsed="false">
      <c r="A191" s="8" t="s">
        <v>878</v>
      </c>
      <c r="B191" s="8" t="s">
        <v>97</v>
      </c>
      <c r="C191" s="8" t="s">
        <v>134</v>
      </c>
      <c r="D191" s="8" t="s">
        <v>859</v>
      </c>
      <c r="E191" s="9" t="n">
        <f aca="false">IF(C191="inhibition",-1,1)</f>
        <v>-1</v>
      </c>
      <c r="F191" s="10" t="s">
        <v>76</v>
      </c>
      <c r="G191" s="10" t="s">
        <v>107</v>
      </c>
      <c r="H191" s="10" t="s">
        <v>208</v>
      </c>
      <c r="I191" s="8" t="s">
        <v>127</v>
      </c>
      <c r="J191" s="10" t="s">
        <v>108</v>
      </c>
      <c r="K191" s="8" t="s">
        <v>81</v>
      </c>
      <c r="L191" s="10" t="s">
        <v>92</v>
      </c>
      <c r="M191" s="8" t="s">
        <v>82</v>
      </c>
      <c r="N191" s="10" t="s">
        <v>855</v>
      </c>
      <c r="O191" s="11" t="s">
        <v>856</v>
      </c>
      <c r="P191" s="8" t="s">
        <v>857</v>
      </c>
      <c r="Q191" s="10"/>
      <c r="R191" s="10" t="s">
        <v>87</v>
      </c>
      <c r="S191" s="10"/>
    </row>
    <row r="192" customFormat="false" ht="57.45" hidden="false" customHeight="false" outlineLevel="0" collapsed="false">
      <c r="A192" s="8" t="s">
        <v>879</v>
      </c>
      <c r="B192" s="8" t="s">
        <v>201</v>
      </c>
      <c r="C192" s="8" t="s">
        <v>74</v>
      </c>
      <c r="D192" s="8" t="s">
        <v>880</v>
      </c>
      <c r="E192" s="9" t="n">
        <f aca="false">IF(C192="inhibition",-1,1)</f>
        <v>1</v>
      </c>
      <c r="F192" s="10" t="s">
        <v>76</v>
      </c>
      <c r="G192" s="10" t="s">
        <v>107</v>
      </c>
      <c r="H192" s="10" t="s">
        <v>90</v>
      </c>
      <c r="I192" s="8" t="s">
        <v>79</v>
      </c>
      <c r="J192" s="10" t="s">
        <v>91</v>
      </c>
      <c r="K192" s="8" t="s">
        <v>81</v>
      </c>
      <c r="L192" s="10" t="s">
        <v>92</v>
      </c>
      <c r="M192" s="8" t="s">
        <v>82</v>
      </c>
      <c r="N192" s="10" t="s">
        <v>860</v>
      </c>
      <c r="O192" s="11" t="s">
        <v>741</v>
      </c>
      <c r="P192" s="8" t="s">
        <v>861</v>
      </c>
      <c r="Q192" s="10"/>
      <c r="R192" s="10" t="s">
        <v>87</v>
      </c>
      <c r="S192" s="10"/>
    </row>
    <row r="193" customFormat="false" ht="46.25" hidden="false" customHeight="false" outlineLevel="0" collapsed="false">
      <c r="A193" s="8" t="s">
        <v>881</v>
      </c>
      <c r="B193" s="8" t="s">
        <v>120</v>
      </c>
      <c r="C193" s="8" t="s">
        <v>74</v>
      </c>
      <c r="D193" s="8" t="s">
        <v>880</v>
      </c>
      <c r="E193" s="9" t="n">
        <f aca="false">IF(C193="inhibition",-1,1)</f>
        <v>1</v>
      </c>
      <c r="F193" s="10" t="s">
        <v>76</v>
      </c>
      <c r="G193" s="10" t="s">
        <v>107</v>
      </c>
      <c r="H193" s="10" t="s">
        <v>90</v>
      </c>
      <c r="I193" s="8" t="s">
        <v>79</v>
      </c>
      <c r="J193" s="10" t="s">
        <v>91</v>
      </c>
      <c r="K193" s="8" t="s">
        <v>81</v>
      </c>
      <c r="L193" s="10" t="s">
        <v>92</v>
      </c>
      <c r="M193" s="8" t="s">
        <v>82</v>
      </c>
      <c r="N193" s="10" t="s">
        <v>743</v>
      </c>
      <c r="O193" s="8"/>
      <c r="P193" s="8"/>
      <c r="Q193" s="10"/>
      <c r="R193" s="10" t="s">
        <v>198</v>
      </c>
      <c r="S193" s="10"/>
    </row>
    <row r="194" customFormat="false" ht="35.05" hidden="false" customHeight="false" outlineLevel="0" collapsed="false">
      <c r="A194" s="8" t="s">
        <v>882</v>
      </c>
      <c r="B194" s="8" t="s">
        <v>377</v>
      </c>
      <c r="C194" s="8" t="s">
        <v>74</v>
      </c>
      <c r="D194" s="8" t="s">
        <v>880</v>
      </c>
      <c r="E194" s="9" t="n">
        <f aca="false">IF(C194="inhibition",-1,1)</f>
        <v>1</v>
      </c>
      <c r="F194" s="10" t="s">
        <v>76</v>
      </c>
      <c r="G194" s="10" t="s">
        <v>107</v>
      </c>
      <c r="H194" s="10" t="s">
        <v>537</v>
      </c>
      <c r="I194" s="8" t="s">
        <v>145</v>
      </c>
      <c r="J194" s="10" t="s">
        <v>144</v>
      </c>
      <c r="K194" s="8" t="s">
        <v>146</v>
      </c>
      <c r="L194" s="10" t="s">
        <v>144</v>
      </c>
      <c r="M194" s="8" t="s">
        <v>144</v>
      </c>
      <c r="N194" s="10" t="s">
        <v>851</v>
      </c>
      <c r="O194" s="11" t="s">
        <v>852</v>
      </c>
      <c r="P194" s="8" t="s">
        <v>853</v>
      </c>
      <c r="Q194" s="10"/>
      <c r="R194" s="10" t="s">
        <v>87</v>
      </c>
      <c r="S194" s="10"/>
    </row>
    <row r="195" customFormat="false" ht="46.25" hidden="false" customHeight="false" outlineLevel="0" collapsed="false">
      <c r="A195" s="8" t="s">
        <v>883</v>
      </c>
      <c r="B195" s="8" t="s">
        <v>97</v>
      </c>
      <c r="C195" s="8" t="s">
        <v>134</v>
      </c>
      <c r="D195" s="8" t="s">
        <v>880</v>
      </c>
      <c r="E195" s="9" t="n">
        <f aca="false">IF(C195="inhibition",-1,1)</f>
        <v>-1</v>
      </c>
      <c r="F195" s="10" t="s">
        <v>76</v>
      </c>
      <c r="G195" s="10" t="s">
        <v>107</v>
      </c>
      <c r="H195" s="10" t="s">
        <v>208</v>
      </c>
      <c r="I195" s="8" t="s">
        <v>127</v>
      </c>
      <c r="J195" s="10" t="s">
        <v>108</v>
      </c>
      <c r="K195" s="8" t="s">
        <v>81</v>
      </c>
      <c r="L195" s="10" t="s">
        <v>92</v>
      </c>
      <c r="M195" s="8" t="s">
        <v>82</v>
      </c>
      <c r="N195" s="10" t="s">
        <v>855</v>
      </c>
      <c r="O195" s="11" t="s">
        <v>856</v>
      </c>
      <c r="P195" s="8" t="s">
        <v>857</v>
      </c>
      <c r="Q195" s="10"/>
      <c r="R195" s="10" t="s">
        <v>87</v>
      </c>
      <c r="S195" s="10"/>
    </row>
    <row r="196" customFormat="false" ht="35.05" hidden="false" customHeight="false" outlineLevel="0" collapsed="false">
      <c r="A196" s="8" t="s">
        <v>884</v>
      </c>
      <c r="B196" s="8" t="s">
        <v>254</v>
      </c>
      <c r="C196" s="8" t="s">
        <v>74</v>
      </c>
      <c r="D196" s="8" t="s">
        <v>345</v>
      </c>
      <c r="E196" s="9" t="n">
        <f aca="false">IF(C196="inhibition",-1,1)</f>
        <v>1</v>
      </c>
      <c r="F196" s="10" t="s">
        <v>255</v>
      </c>
      <c r="G196" s="10" t="s">
        <v>255</v>
      </c>
      <c r="H196" s="10" t="s">
        <v>196</v>
      </c>
      <c r="I196" s="8" t="s">
        <v>145</v>
      </c>
      <c r="J196" s="10" t="s">
        <v>144</v>
      </c>
      <c r="K196" s="8" t="s">
        <v>146</v>
      </c>
      <c r="L196" s="10" t="s">
        <v>144</v>
      </c>
      <c r="M196" s="8" t="s">
        <v>144</v>
      </c>
      <c r="N196" s="10" t="s">
        <v>885</v>
      </c>
      <c r="O196" s="11" t="s">
        <v>886</v>
      </c>
      <c r="P196" s="8"/>
      <c r="Q196" s="10"/>
      <c r="R196" s="10" t="s">
        <v>87</v>
      </c>
      <c r="S196" s="10"/>
    </row>
    <row r="197" customFormat="false" ht="35.05" hidden="false" customHeight="false" outlineLevel="0" collapsed="false">
      <c r="A197" s="8" t="s">
        <v>887</v>
      </c>
      <c r="B197" s="8" t="s">
        <v>260</v>
      </c>
      <c r="C197" s="8" t="s">
        <v>134</v>
      </c>
      <c r="D197" s="8" t="s">
        <v>345</v>
      </c>
      <c r="E197" s="9" t="n">
        <f aca="false">IF(C197="inhibition",-1,1)</f>
        <v>-1</v>
      </c>
      <c r="F197" s="10" t="s">
        <v>255</v>
      </c>
      <c r="G197" s="10" t="s">
        <v>255</v>
      </c>
      <c r="H197" s="10" t="s">
        <v>196</v>
      </c>
      <c r="I197" s="8" t="s">
        <v>145</v>
      </c>
      <c r="J197" s="10" t="s">
        <v>144</v>
      </c>
      <c r="K197" s="8" t="s">
        <v>146</v>
      </c>
      <c r="L197" s="10" t="s">
        <v>144</v>
      </c>
      <c r="M197" s="8" t="s">
        <v>144</v>
      </c>
      <c r="N197" s="10" t="s">
        <v>274</v>
      </c>
      <c r="O197" s="11" t="s">
        <v>275</v>
      </c>
      <c r="P197" s="8"/>
      <c r="Q197" s="10"/>
      <c r="R197" s="10" t="s">
        <v>87</v>
      </c>
      <c r="S197" s="10"/>
    </row>
    <row r="198" customFormat="false" ht="46.25" hidden="false" customHeight="false" outlineLevel="0" collapsed="false">
      <c r="A198" s="8" t="s">
        <v>888</v>
      </c>
      <c r="B198" s="8" t="s">
        <v>811</v>
      </c>
      <c r="C198" s="8" t="s">
        <v>74</v>
      </c>
      <c r="D198" s="8" t="s">
        <v>419</v>
      </c>
      <c r="E198" s="9" t="n">
        <f aca="false">IF(C198="inhibition",-1,1)</f>
        <v>1</v>
      </c>
      <c r="F198" s="10" t="s">
        <v>195</v>
      </c>
      <c r="G198" s="10" t="s">
        <v>76</v>
      </c>
      <c r="H198" s="10" t="s">
        <v>144</v>
      </c>
      <c r="I198" s="8" t="s">
        <v>145</v>
      </c>
      <c r="J198" s="10" t="s">
        <v>144</v>
      </c>
      <c r="K198" s="8" t="s">
        <v>146</v>
      </c>
      <c r="L198" s="10" t="s">
        <v>144</v>
      </c>
      <c r="M198" s="8" t="s">
        <v>144</v>
      </c>
      <c r="N198" s="10" t="s">
        <v>889</v>
      </c>
      <c r="O198" s="11" t="s">
        <v>890</v>
      </c>
      <c r="P198" s="8" t="s">
        <v>891</v>
      </c>
      <c r="Q198" s="10"/>
      <c r="R198" s="10" t="s">
        <v>87</v>
      </c>
      <c r="S198" s="10"/>
    </row>
    <row r="199" customFormat="false" ht="57.45" hidden="false" customHeight="false" outlineLevel="0" collapsed="false">
      <c r="A199" s="8" t="s">
        <v>892</v>
      </c>
      <c r="B199" s="8" t="s">
        <v>803</v>
      </c>
      <c r="C199" s="8" t="s">
        <v>74</v>
      </c>
      <c r="D199" s="8" t="s">
        <v>419</v>
      </c>
      <c r="E199" s="9" t="n">
        <f aca="false">IF(C199="inhibition",-1,1)</f>
        <v>1</v>
      </c>
      <c r="F199" s="10" t="s">
        <v>389</v>
      </c>
      <c r="G199" s="10" t="s">
        <v>76</v>
      </c>
      <c r="H199" s="10" t="s">
        <v>90</v>
      </c>
      <c r="I199" s="8" t="s">
        <v>79</v>
      </c>
      <c r="J199" s="10" t="s">
        <v>81</v>
      </c>
      <c r="K199" s="8" t="s">
        <v>81</v>
      </c>
      <c r="L199" s="10" t="s">
        <v>92</v>
      </c>
      <c r="M199" s="8" t="s">
        <v>82</v>
      </c>
      <c r="N199" s="10" t="s">
        <v>864</v>
      </c>
      <c r="O199" s="11" t="s">
        <v>865</v>
      </c>
      <c r="P199" s="8" t="s">
        <v>866</v>
      </c>
      <c r="Q199" s="10"/>
      <c r="R199" s="10" t="s">
        <v>87</v>
      </c>
      <c r="S199" s="10"/>
    </row>
    <row r="200" customFormat="false" ht="46.25" hidden="false" customHeight="false" outlineLevel="0" collapsed="false">
      <c r="A200" s="8" t="s">
        <v>893</v>
      </c>
      <c r="B200" s="8" t="s">
        <v>808</v>
      </c>
      <c r="C200" s="8" t="s">
        <v>74</v>
      </c>
      <c r="D200" s="8" t="s">
        <v>592</v>
      </c>
      <c r="E200" s="9" t="n">
        <f aca="false">IF(C200="inhibition",-1,1)</f>
        <v>1</v>
      </c>
      <c r="F200" s="10" t="s">
        <v>389</v>
      </c>
      <c r="G200" s="10" t="s">
        <v>389</v>
      </c>
      <c r="H200" s="10" t="s">
        <v>196</v>
      </c>
      <c r="I200" s="8" t="s">
        <v>145</v>
      </c>
      <c r="J200" s="10" t="s">
        <v>144</v>
      </c>
      <c r="K200" s="8" t="s">
        <v>146</v>
      </c>
      <c r="L200" s="10" t="s">
        <v>144</v>
      </c>
      <c r="M200" s="8" t="s">
        <v>144</v>
      </c>
      <c r="N200" s="10" t="s">
        <v>894</v>
      </c>
      <c r="O200" s="11" t="s">
        <v>895</v>
      </c>
      <c r="P200" s="8" t="s">
        <v>896</v>
      </c>
      <c r="Q200" s="10"/>
      <c r="R200" s="10" t="s">
        <v>87</v>
      </c>
      <c r="S200" s="10"/>
    </row>
    <row r="201" customFormat="false" ht="46.25" hidden="false" customHeight="false" outlineLevel="0" collapsed="false">
      <c r="A201" s="8" t="s">
        <v>897</v>
      </c>
      <c r="B201" s="8" t="s">
        <v>200</v>
      </c>
      <c r="C201" s="8" t="s">
        <v>74</v>
      </c>
      <c r="D201" s="8" t="s">
        <v>188</v>
      </c>
      <c r="E201" s="9" t="n">
        <f aca="false">IF(C201="inhibition",-1,1)</f>
        <v>1</v>
      </c>
      <c r="F201" s="10" t="s">
        <v>114</v>
      </c>
      <c r="G201" s="10" t="s">
        <v>138</v>
      </c>
      <c r="H201" s="10" t="s">
        <v>196</v>
      </c>
      <c r="I201" s="8" t="s">
        <v>145</v>
      </c>
      <c r="J201" s="10" t="s">
        <v>144</v>
      </c>
      <c r="K201" s="8" t="s">
        <v>146</v>
      </c>
      <c r="L201" s="10" t="s">
        <v>144</v>
      </c>
      <c r="M201" s="8" t="s">
        <v>144</v>
      </c>
      <c r="N201" s="10" t="s">
        <v>898</v>
      </c>
      <c r="O201" s="11" t="s">
        <v>899</v>
      </c>
      <c r="P201" s="8" t="s">
        <v>900</v>
      </c>
      <c r="Q201" s="10"/>
      <c r="R201" s="10" t="s">
        <v>87</v>
      </c>
      <c r="S201" s="10"/>
    </row>
    <row r="202" customFormat="false" ht="46.25" hidden="false" customHeight="false" outlineLevel="0" collapsed="false">
      <c r="A202" s="8" t="s">
        <v>901</v>
      </c>
      <c r="B202" s="8" t="s">
        <v>465</v>
      </c>
      <c r="C202" s="8" t="s">
        <v>74</v>
      </c>
      <c r="D202" s="8" t="s">
        <v>188</v>
      </c>
      <c r="E202" s="9" t="n">
        <f aca="false">IF(C202="inhibition",-1,1)</f>
        <v>1</v>
      </c>
      <c r="F202" s="10" t="s">
        <v>114</v>
      </c>
      <c r="G202" s="10" t="s">
        <v>138</v>
      </c>
      <c r="H202" s="10" t="s">
        <v>144</v>
      </c>
      <c r="I202" s="8" t="s">
        <v>145</v>
      </c>
      <c r="J202" s="10" t="s">
        <v>144</v>
      </c>
      <c r="K202" s="8" t="s">
        <v>146</v>
      </c>
      <c r="L202" s="10" t="s">
        <v>144</v>
      </c>
      <c r="M202" s="8" t="s">
        <v>144</v>
      </c>
      <c r="N202" s="10" t="s">
        <v>898</v>
      </c>
      <c r="O202" s="11" t="s">
        <v>899</v>
      </c>
      <c r="P202" s="8" t="s">
        <v>900</v>
      </c>
      <c r="Q202" s="10"/>
      <c r="R202" s="10" t="s">
        <v>87</v>
      </c>
      <c r="S202" s="10"/>
    </row>
    <row r="203" customFormat="false" ht="57.45" hidden="false" customHeight="false" outlineLevel="0" collapsed="false">
      <c r="A203" s="8" t="s">
        <v>902</v>
      </c>
      <c r="B203" s="8" t="s">
        <v>903</v>
      </c>
      <c r="C203" s="8" t="s">
        <v>74</v>
      </c>
      <c r="D203" s="8" t="s">
        <v>188</v>
      </c>
      <c r="E203" s="9" t="n">
        <f aca="false">IF(C203="inhibition",-1,1)</f>
        <v>1</v>
      </c>
      <c r="F203" s="10" t="s">
        <v>138</v>
      </c>
      <c r="G203" s="10" t="s">
        <v>138</v>
      </c>
      <c r="H203" s="10" t="s">
        <v>144</v>
      </c>
      <c r="I203" s="8" t="s">
        <v>145</v>
      </c>
      <c r="J203" s="10" t="s">
        <v>144</v>
      </c>
      <c r="K203" s="8" t="s">
        <v>146</v>
      </c>
      <c r="L203" s="10" t="s">
        <v>144</v>
      </c>
      <c r="M203" s="8" t="s">
        <v>144</v>
      </c>
      <c r="N203" s="10" t="s">
        <v>904</v>
      </c>
      <c r="O203" s="11" t="s">
        <v>905</v>
      </c>
      <c r="P203" s="8" t="s">
        <v>906</v>
      </c>
      <c r="Q203" s="10"/>
      <c r="R203" s="10" t="s">
        <v>87</v>
      </c>
      <c r="S203" s="10"/>
    </row>
    <row r="204" customFormat="false" ht="35.05" hidden="false" customHeight="false" outlineLevel="0" collapsed="false">
      <c r="A204" s="8" t="s">
        <v>907</v>
      </c>
      <c r="B204" s="8" t="s">
        <v>908</v>
      </c>
      <c r="C204" s="8" t="s">
        <v>74</v>
      </c>
      <c r="D204" s="8" t="s">
        <v>188</v>
      </c>
      <c r="E204" s="9" t="n">
        <f aca="false">IF(C204="inhibition",-1,1)</f>
        <v>1</v>
      </c>
      <c r="F204" s="10" t="s">
        <v>138</v>
      </c>
      <c r="G204" s="10" t="s">
        <v>138</v>
      </c>
      <c r="H204" s="10" t="s">
        <v>196</v>
      </c>
      <c r="I204" s="8" t="s">
        <v>145</v>
      </c>
      <c r="J204" s="10" t="s">
        <v>144</v>
      </c>
      <c r="K204" s="8" t="s">
        <v>146</v>
      </c>
      <c r="L204" s="10" t="s">
        <v>144</v>
      </c>
      <c r="M204" s="8" t="s">
        <v>144</v>
      </c>
      <c r="N204" s="10" t="s">
        <v>909</v>
      </c>
      <c r="O204" s="11" t="s">
        <v>910</v>
      </c>
      <c r="P204" s="8" t="s">
        <v>911</v>
      </c>
      <c r="Q204" s="10"/>
      <c r="R204" s="10" t="s">
        <v>87</v>
      </c>
      <c r="S204" s="10"/>
    </row>
    <row r="205" customFormat="false" ht="46.25" hidden="false" customHeight="false" outlineLevel="0" collapsed="false">
      <c r="A205" s="8" t="s">
        <v>912</v>
      </c>
      <c r="B205" s="8" t="s">
        <v>165</v>
      </c>
      <c r="C205" s="8" t="s">
        <v>134</v>
      </c>
      <c r="D205" s="8" t="s">
        <v>188</v>
      </c>
      <c r="E205" s="9" t="n">
        <f aca="false">IF(C205="inhibition",-1,1)</f>
        <v>-1</v>
      </c>
      <c r="F205" s="10" t="s">
        <v>138</v>
      </c>
      <c r="G205" s="10" t="s">
        <v>138</v>
      </c>
      <c r="H205" s="10" t="s">
        <v>173</v>
      </c>
      <c r="I205" s="8" t="s">
        <v>127</v>
      </c>
      <c r="J205" s="10" t="s">
        <v>108</v>
      </c>
      <c r="K205" s="8" t="s">
        <v>81</v>
      </c>
      <c r="L205" s="10" t="s">
        <v>92</v>
      </c>
      <c r="M205" s="8" t="s">
        <v>82</v>
      </c>
      <c r="N205" s="10" t="s">
        <v>913</v>
      </c>
      <c r="O205" s="11" t="s">
        <v>914</v>
      </c>
      <c r="P205" s="8" t="s">
        <v>915</v>
      </c>
      <c r="Q205" s="10"/>
      <c r="R205" s="10" t="s">
        <v>87</v>
      </c>
      <c r="S205" s="10"/>
    </row>
    <row r="206" customFormat="false" ht="46.25" hidden="false" customHeight="false" outlineLevel="0" collapsed="false">
      <c r="A206" s="8" t="s">
        <v>916</v>
      </c>
      <c r="B206" s="8" t="s">
        <v>387</v>
      </c>
      <c r="C206" s="8" t="s">
        <v>74</v>
      </c>
      <c r="D206" s="8" t="s">
        <v>136</v>
      </c>
      <c r="E206" s="9" t="n">
        <f aca="false">IF(C206="inhibition",-1,1)</f>
        <v>1</v>
      </c>
      <c r="F206" s="10" t="s">
        <v>389</v>
      </c>
      <c r="G206" s="10" t="s">
        <v>138</v>
      </c>
      <c r="H206" s="10" t="s">
        <v>144</v>
      </c>
      <c r="I206" s="8" t="s">
        <v>145</v>
      </c>
      <c r="J206" s="10" t="s">
        <v>144</v>
      </c>
      <c r="K206" s="8" t="s">
        <v>146</v>
      </c>
      <c r="L206" s="10" t="s">
        <v>144</v>
      </c>
      <c r="M206" s="8" t="s">
        <v>144</v>
      </c>
      <c r="N206" s="10" t="s">
        <v>917</v>
      </c>
      <c r="O206" s="11" t="s">
        <v>918</v>
      </c>
      <c r="P206" s="8" t="s">
        <v>919</v>
      </c>
      <c r="Q206" s="10"/>
      <c r="R206" s="10" t="s">
        <v>87</v>
      </c>
      <c r="S206" s="10"/>
    </row>
    <row r="207" customFormat="false" ht="35.05" hidden="false" customHeight="false" outlineLevel="0" collapsed="false">
      <c r="A207" s="8" t="s">
        <v>920</v>
      </c>
      <c r="B207" s="8" t="s">
        <v>151</v>
      </c>
      <c r="C207" s="8" t="s">
        <v>74</v>
      </c>
      <c r="D207" s="8" t="s">
        <v>136</v>
      </c>
      <c r="E207" s="9" t="n">
        <f aca="false">IF(C207="inhibition",-1,1)</f>
        <v>1</v>
      </c>
      <c r="F207" s="10" t="s">
        <v>138</v>
      </c>
      <c r="G207" s="10" t="s">
        <v>138</v>
      </c>
      <c r="H207" s="10" t="s">
        <v>359</v>
      </c>
      <c r="I207" s="8" t="s">
        <v>145</v>
      </c>
      <c r="J207" s="10" t="s">
        <v>144</v>
      </c>
      <c r="K207" s="8" t="s">
        <v>146</v>
      </c>
      <c r="L207" s="10" t="s">
        <v>144</v>
      </c>
      <c r="M207" s="8" t="s">
        <v>144</v>
      </c>
      <c r="N207" s="10" t="s">
        <v>921</v>
      </c>
      <c r="O207" s="11" t="s">
        <v>922</v>
      </c>
      <c r="P207" s="8" t="s">
        <v>923</v>
      </c>
      <c r="Q207" s="10"/>
      <c r="R207" s="10" t="s">
        <v>87</v>
      </c>
      <c r="S207" s="10"/>
    </row>
    <row r="208" customFormat="false" ht="46.25" hidden="false" customHeight="false" outlineLevel="0" collapsed="false">
      <c r="A208" s="8" t="s">
        <v>924</v>
      </c>
      <c r="B208" s="8" t="s">
        <v>188</v>
      </c>
      <c r="C208" s="8" t="s">
        <v>134</v>
      </c>
      <c r="D208" s="8" t="s">
        <v>136</v>
      </c>
      <c r="E208" s="9" t="n">
        <f aca="false">IF(C208="inhibition",-1,1)</f>
        <v>-1</v>
      </c>
      <c r="F208" s="10" t="s">
        <v>138</v>
      </c>
      <c r="G208" s="10" t="s">
        <v>138</v>
      </c>
      <c r="H208" s="10" t="s">
        <v>144</v>
      </c>
      <c r="I208" s="8" t="s">
        <v>145</v>
      </c>
      <c r="J208" s="10" t="s">
        <v>144</v>
      </c>
      <c r="K208" s="8" t="s">
        <v>146</v>
      </c>
      <c r="L208" s="10" t="s">
        <v>144</v>
      </c>
      <c r="M208" s="8" t="s">
        <v>144</v>
      </c>
      <c r="N208" s="10" t="s">
        <v>925</v>
      </c>
      <c r="O208" s="11" t="s">
        <v>926</v>
      </c>
      <c r="P208" s="8" t="s">
        <v>927</v>
      </c>
      <c r="Q208" s="10"/>
      <c r="R208" s="10" t="s">
        <v>87</v>
      </c>
      <c r="S208" s="10"/>
    </row>
    <row r="209" customFormat="false" ht="68.65" hidden="false" customHeight="false" outlineLevel="0" collapsed="false">
      <c r="A209" s="8" t="s">
        <v>928</v>
      </c>
      <c r="B209" s="8" t="s">
        <v>113</v>
      </c>
      <c r="C209" s="8" t="s">
        <v>74</v>
      </c>
      <c r="D209" s="8" t="s">
        <v>120</v>
      </c>
      <c r="E209" s="9" t="n">
        <f aca="false">IF(C209="inhibition",-1,1)</f>
        <v>1</v>
      </c>
      <c r="F209" s="10" t="s">
        <v>114</v>
      </c>
      <c r="G209" s="10" t="s">
        <v>76</v>
      </c>
      <c r="H209" s="10" t="s">
        <v>90</v>
      </c>
      <c r="I209" s="8" t="s">
        <v>79</v>
      </c>
      <c r="J209" s="10" t="s">
        <v>108</v>
      </c>
      <c r="K209" s="8" t="s">
        <v>81</v>
      </c>
      <c r="L209" s="10" t="s">
        <v>92</v>
      </c>
      <c r="M209" s="8" t="s">
        <v>82</v>
      </c>
      <c r="N209" s="10" t="s">
        <v>929</v>
      </c>
      <c r="O209" s="11" t="s">
        <v>930</v>
      </c>
      <c r="P209" s="8" t="s">
        <v>931</v>
      </c>
      <c r="Q209" s="10"/>
      <c r="R209" s="10" t="s">
        <v>87</v>
      </c>
      <c r="S209" s="10"/>
    </row>
    <row r="210" customFormat="false" ht="46.25" hidden="false" customHeight="false" outlineLevel="0" collapsed="false">
      <c r="A210" s="8" t="s">
        <v>932</v>
      </c>
      <c r="B210" s="8" t="s">
        <v>179</v>
      </c>
      <c r="C210" s="8" t="s">
        <v>74</v>
      </c>
      <c r="D210" s="8" t="s">
        <v>120</v>
      </c>
      <c r="E210" s="9" t="n">
        <f aca="false">IF(C210="inhibition",-1,1)</f>
        <v>1</v>
      </c>
      <c r="F210" s="10" t="s">
        <v>180</v>
      </c>
      <c r="G210" s="10" t="s">
        <v>76</v>
      </c>
      <c r="H210" s="10" t="s">
        <v>90</v>
      </c>
      <c r="I210" s="8" t="s">
        <v>79</v>
      </c>
      <c r="J210" s="10" t="s">
        <v>98</v>
      </c>
      <c r="K210" s="8" t="s">
        <v>99</v>
      </c>
      <c r="L210" s="10" t="s">
        <v>92</v>
      </c>
      <c r="M210" s="8" t="s">
        <v>82</v>
      </c>
      <c r="N210" s="10" t="s">
        <v>933</v>
      </c>
      <c r="O210" s="11" t="s">
        <v>934</v>
      </c>
      <c r="P210" s="8" t="s">
        <v>935</v>
      </c>
      <c r="Q210" s="10"/>
      <c r="R210" s="10" t="s">
        <v>87</v>
      </c>
      <c r="S210" s="10"/>
    </row>
    <row r="211" customFormat="false" ht="57.45" hidden="false" customHeight="false" outlineLevel="0" collapsed="false">
      <c r="A211" s="8" t="s">
        <v>936</v>
      </c>
      <c r="B211" s="8" t="s">
        <v>777</v>
      </c>
      <c r="C211" s="8" t="s">
        <v>134</v>
      </c>
      <c r="D211" s="8" t="s">
        <v>120</v>
      </c>
      <c r="E211" s="9" t="n">
        <f aca="false">IF(C211="inhibition",-1,1)</f>
        <v>-1</v>
      </c>
      <c r="F211" s="10" t="s">
        <v>195</v>
      </c>
      <c r="G211" s="10" t="s">
        <v>76</v>
      </c>
      <c r="H211" s="10" t="s">
        <v>937</v>
      </c>
      <c r="I211" s="8" t="s">
        <v>145</v>
      </c>
      <c r="J211" s="10" t="s">
        <v>108</v>
      </c>
      <c r="K211" s="8" t="s">
        <v>81</v>
      </c>
      <c r="L211" s="10" t="s">
        <v>437</v>
      </c>
      <c r="M211" s="8" t="s">
        <v>438</v>
      </c>
      <c r="N211" s="10" t="s">
        <v>780</v>
      </c>
      <c r="O211" s="11" t="s">
        <v>781</v>
      </c>
      <c r="P211" s="8" t="s">
        <v>782</v>
      </c>
      <c r="Q211" s="10"/>
      <c r="R211" s="10" t="s">
        <v>87</v>
      </c>
      <c r="S211" s="10"/>
    </row>
    <row r="212" customFormat="false" ht="35.05" hidden="false" customHeight="false" outlineLevel="0" collapsed="false">
      <c r="A212" s="8" t="s">
        <v>938</v>
      </c>
      <c r="B212" s="8" t="s">
        <v>331</v>
      </c>
      <c r="C212" s="8" t="s">
        <v>74</v>
      </c>
      <c r="D212" s="8" t="s">
        <v>452</v>
      </c>
      <c r="E212" s="9" t="n">
        <f aca="false">IF(C212="inhibition",-1,1)</f>
        <v>1</v>
      </c>
      <c r="F212" s="10" t="s">
        <v>166</v>
      </c>
      <c r="G212" s="10" t="s">
        <v>76</v>
      </c>
      <c r="H212" s="10" t="s">
        <v>90</v>
      </c>
      <c r="I212" s="8" t="s">
        <v>79</v>
      </c>
      <c r="J212" s="10" t="s">
        <v>378</v>
      </c>
      <c r="K212" s="8" t="s">
        <v>99</v>
      </c>
      <c r="L212" s="10" t="s">
        <v>92</v>
      </c>
      <c r="M212" s="8" t="s">
        <v>82</v>
      </c>
      <c r="N212" s="10" t="s">
        <v>939</v>
      </c>
      <c r="O212" s="8"/>
      <c r="P212" s="8"/>
      <c r="Q212" s="10"/>
      <c r="R212" s="10" t="s">
        <v>198</v>
      </c>
      <c r="S212" s="10"/>
    </row>
    <row r="213" customFormat="false" ht="102.2" hidden="false" customHeight="false" outlineLevel="0" collapsed="false">
      <c r="A213" s="8" t="s">
        <v>940</v>
      </c>
      <c r="B213" s="8" t="s">
        <v>165</v>
      </c>
      <c r="C213" s="8" t="s">
        <v>74</v>
      </c>
      <c r="D213" s="8" t="s">
        <v>300</v>
      </c>
      <c r="E213" s="9" t="n">
        <f aca="false">IF(C213="inhibition",-1,1)</f>
        <v>1</v>
      </c>
      <c r="F213" s="10" t="s">
        <v>138</v>
      </c>
      <c r="G213" s="10" t="s">
        <v>76</v>
      </c>
      <c r="H213" s="10" t="s">
        <v>372</v>
      </c>
      <c r="I213" s="8" t="s">
        <v>79</v>
      </c>
      <c r="J213" s="10" t="s">
        <v>941</v>
      </c>
      <c r="K213" s="8" t="s">
        <v>99</v>
      </c>
      <c r="L213" s="10" t="s">
        <v>92</v>
      </c>
      <c r="M213" s="8" t="s">
        <v>82</v>
      </c>
      <c r="N213" s="10" t="s">
        <v>942</v>
      </c>
      <c r="O213" s="11" t="s">
        <v>943</v>
      </c>
      <c r="P213" s="8" t="s">
        <v>944</v>
      </c>
      <c r="Q213" s="10"/>
      <c r="R213" s="10" t="s">
        <v>481</v>
      </c>
      <c r="S213" s="10"/>
    </row>
    <row r="214" customFormat="false" ht="46.25" hidden="false" customHeight="false" outlineLevel="0" collapsed="false">
      <c r="A214" s="8" t="s">
        <v>945</v>
      </c>
      <c r="B214" s="8" t="s">
        <v>693</v>
      </c>
      <c r="C214" s="8" t="s">
        <v>74</v>
      </c>
      <c r="D214" s="8" t="s">
        <v>300</v>
      </c>
      <c r="E214" s="9" t="n">
        <f aca="false">IF(C214="inhibition",-1,1)</f>
        <v>1</v>
      </c>
      <c r="F214" s="10" t="s">
        <v>138</v>
      </c>
      <c r="G214" s="10" t="s">
        <v>76</v>
      </c>
      <c r="H214" s="10" t="s">
        <v>290</v>
      </c>
      <c r="I214" s="8" t="s">
        <v>145</v>
      </c>
      <c r="J214" s="10" t="s">
        <v>144</v>
      </c>
      <c r="K214" s="8" t="s">
        <v>146</v>
      </c>
      <c r="L214" s="10" t="s">
        <v>144</v>
      </c>
      <c r="M214" s="8" t="s">
        <v>144</v>
      </c>
      <c r="N214" s="10" t="s">
        <v>946</v>
      </c>
      <c r="O214" s="11" t="s">
        <v>947</v>
      </c>
      <c r="P214" s="8" t="s">
        <v>948</v>
      </c>
      <c r="Q214" s="10"/>
      <c r="R214" s="10" t="s">
        <v>87</v>
      </c>
      <c r="S214" s="10"/>
    </row>
    <row r="215" customFormat="false" ht="46.25" hidden="false" customHeight="false" outlineLevel="0" collapsed="false">
      <c r="A215" s="8" t="s">
        <v>949</v>
      </c>
      <c r="B215" s="8" t="s">
        <v>472</v>
      </c>
      <c r="C215" s="8" t="s">
        <v>134</v>
      </c>
      <c r="D215" s="8" t="s">
        <v>300</v>
      </c>
      <c r="E215" s="9" t="n">
        <f aca="false">IF(C215="inhibition",-1,1)</f>
        <v>-1</v>
      </c>
      <c r="F215" s="10" t="s">
        <v>138</v>
      </c>
      <c r="G215" s="10" t="s">
        <v>76</v>
      </c>
      <c r="H215" s="10" t="s">
        <v>144</v>
      </c>
      <c r="I215" s="8" t="s">
        <v>145</v>
      </c>
      <c r="J215" s="10" t="s">
        <v>144</v>
      </c>
      <c r="K215" s="8" t="s">
        <v>146</v>
      </c>
      <c r="L215" s="10" t="s">
        <v>144</v>
      </c>
      <c r="M215" s="8" t="s">
        <v>144</v>
      </c>
      <c r="N215" s="10" t="s">
        <v>950</v>
      </c>
      <c r="O215" s="11" t="s">
        <v>951</v>
      </c>
      <c r="P215" s="8" t="s">
        <v>952</v>
      </c>
      <c r="Q215" s="10"/>
      <c r="R215" s="10" t="s">
        <v>87</v>
      </c>
      <c r="S215" s="10"/>
    </row>
    <row r="216" customFormat="false" ht="46.25" hidden="false" customHeight="false" outlineLevel="0" collapsed="false">
      <c r="A216" s="8" t="s">
        <v>953</v>
      </c>
      <c r="B216" s="8" t="s">
        <v>527</v>
      </c>
      <c r="C216" s="8" t="s">
        <v>74</v>
      </c>
      <c r="D216" s="8" t="s">
        <v>125</v>
      </c>
      <c r="E216" s="9" t="n">
        <f aca="false">IF(C216="inhibition",-1,1)</f>
        <v>1</v>
      </c>
      <c r="F216" s="10" t="s">
        <v>389</v>
      </c>
      <c r="G216" s="10" t="s">
        <v>114</v>
      </c>
      <c r="H216" s="10" t="s">
        <v>173</v>
      </c>
      <c r="I216" s="8" t="s">
        <v>127</v>
      </c>
      <c r="J216" s="10" t="s">
        <v>108</v>
      </c>
      <c r="K216" s="8" t="s">
        <v>81</v>
      </c>
      <c r="L216" s="10" t="s">
        <v>115</v>
      </c>
      <c r="M216" s="8" t="s">
        <v>82</v>
      </c>
      <c r="N216" s="10" t="s">
        <v>784</v>
      </c>
      <c r="O216" s="11" t="s">
        <v>785</v>
      </c>
      <c r="P216" s="8" t="s">
        <v>786</v>
      </c>
      <c r="Q216" s="10"/>
      <c r="R216" s="10" t="s">
        <v>87</v>
      </c>
      <c r="S216" s="10"/>
    </row>
    <row r="217" customFormat="false" ht="35.05" hidden="false" customHeight="false" outlineLevel="0" collapsed="false">
      <c r="A217" s="8" t="s">
        <v>954</v>
      </c>
      <c r="B217" s="8" t="s">
        <v>839</v>
      </c>
      <c r="C217" s="8" t="s">
        <v>74</v>
      </c>
      <c r="D217" s="8" t="s">
        <v>125</v>
      </c>
      <c r="E217" s="9" t="n">
        <f aca="false">IF(C217="inhibition",-1,1)</f>
        <v>1</v>
      </c>
      <c r="F217" s="10" t="s">
        <v>114</v>
      </c>
      <c r="G217" s="10" t="s">
        <v>114</v>
      </c>
      <c r="H217" s="10" t="s">
        <v>144</v>
      </c>
      <c r="I217" s="8" t="s">
        <v>145</v>
      </c>
      <c r="J217" s="10" t="s">
        <v>144</v>
      </c>
      <c r="K217" s="8" t="s">
        <v>146</v>
      </c>
      <c r="L217" s="10" t="s">
        <v>144</v>
      </c>
      <c r="M217" s="8" t="s">
        <v>144</v>
      </c>
      <c r="N217" s="10" t="s">
        <v>840</v>
      </c>
      <c r="O217" s="11" t="s">
        <v>841</v>
      </c>
      <c r="P217" s="8" t="s">
        <v>842</v>
      </c>
      <c r="Q217" s="10"/>
      <c r="R217" s="10" t="s">
        <v>87</v>
      </c>
      <c r="S217" s="10"/>
    </row>
    <row r="218" customFormat="false" ht="46.25" hidden="false" customHeight="false" outlineLevel="0" collapsed="false">
      <c r="A218" s="8" t="s">
        <v>955</v>
      </c>
      <c r="B218" s="8" t="s">
        <v>179</v>
      </c>
      <c r="C218" s="8" t="s">
        <v>74</v>
      </c>
      <c r="D218" s="8" t="s">
        <v>125</v>
      </c>
      <c r="E218" s="9" t="n">
        <f aca="false">IF(C218="inhibition",-1,1)</f>
        <v>1</v>
      </c>
      <c r="F218" s="10" t="s">
        <v>180</v>
      </c>
      <c r="G218" s="10" t="s">
        <v>114</v>
      </c>
      <c r="H218" s="10" t="s">
        <v>78</v>
      </c>
      <c r="I218" s="8" t="s">
        <v>79</v>
      </c>
      <c r="J218" s="10" t="s">
        <v>80</v>
      </c>
      <c r="K218" s="8" t="s">
        <v>81</v>
      </c>
      <c r="L218" s="10" t="s">
        <v>82</v>
      </c>
      <c r="M218" s="8" t="s">
        <v>82</v>
      </c>
      <c r="N218" s="10" t="s">
        <v>956</v>
      </c>
      <c r="O218" s="11" t="s">
        <v>957</v>
      </c>
      <c r="P218" s="8" t="s">
        <v>958</v>
      </c>
      <c r="Q218" s="10" t="s">
        <v>959</v>
      </c>
      <c r="R218" s="10" t="s">
        <v>87</v>
      </c>
      <c r="S218" s="10"/>
    </row>
    <row r="219" customFormat="false" ht="23.85" hidden="false" customHeight="false" outlineLevel="0" collapsed="false">
      <c r="A219" s="8" t="s">
        <v>960</v>
      </c>
      <c r="B219" s="8" t="s">
        <v>388</v>
      </c>
      <c r="C219" s="8" t="s">
        <v>74</v>
      </c>
      <c r="D219" s="8" t="s">
        <v>961</v>
      </c>
      <c r="E219" s="9" t="n">
        <f aca="false">IF(C219="inhibition",-1,1)</f>
        <v>1</v>
      </c>
      <c r="F219" s="10" t="s">
        <v>389</v>
      </c>
      <c r="G219" s="10" t="s">
        <v>389</v>
      </c>
      <c r="H219" s="10" t="s">
        <v>196</v>
      </c>
      <c r="I219" s="8" t="s">
        <v>145</v>
      </c>
      <c r="J219" s="10" t="s">
        <v>144</v>
      </c>
      <c r="K219" s="8" t="s">
        <v>146</v>
      </c>
      <c r="L219" s="10" t="s">
        <v>144</v>
      </c>
      <c r="M219" s="8" t="s">
        <v>144</v>
      </c>
      <c r="N219" s="10" t="s">
        <v>962</v>
      </c>
      <c r="O219" s="8"/>
      <c r="P219" s="8"/>
      <c r="Q219" s="10"/>
      <c r="R219" s="10" t="s">
        <v>198</v>
      </c>
      <c r="S219" s="10"/>
    </row>
    <row r="220" customFormat="false" ht="57.45" hidden="false" customHeight="false" outlineLevel="0" collapsed="false">
      <c r="A220" s="8" t="s">
        <v>963</v>
      </c>
      <c r="B220" s="8" t="s">
        <v>964</v>
      </c>
      <c r="C220" s="8" t="s">
        <v>74</v>
      </c>
      <c r="D220" s="8" t="s">
        <v>961</v>
      </c>
      <c r="E220" s="9" t="n">
        <f aca="false">IF(C220="inhibition",-1,1)</f>
        <v>1</v>
      </c>
      <c r="F220" s="10" t="s">
        <v>389</v>
      </c>
      <c r="G220" s="10" t="s">
        <v>389</v>
      </c>
      <c r="H220" s="10" t="s">
        <v>90</v>
      </c>
      <c r="I220" s="8" t="s">
        <v>79</v>
      </c>
      <c r="J220" s="10" t="s">
        <v>91</v>
      </c>
      <c r="K220" s="8" t="s">
        <v>81</v>
      </c>
      <c r="L220" s="10" t="s">
        <v>92</v>
      </c>
      <c r="M220" s="8" t="s">
        <v>82</v>
      </c>
      <c r="N220" s="10" t="s">
        <v>965</v>
      </c>
      <c r="O220" s="11" t="s">
        <v>966</v>
      </c>
      <c r="P220" s="8" t="s">
        <v>967</v>
      </c>
      <c r="Q220" s="10"/>
      <c r="R220" s="10" t="s">
        <v>87</v>
      </c>
      <c r="S220" s="10"/>
    </row>
    <row r="221" customFormat="false" ht="57.45" hidden="false" customHeight="false" outlineLevel="0" collapsed="false">
      <c r="A221" s="8" t="s">
        <v>968</v>
      </c>
      <c r="B221" s="8" t="s">
        <v>969</v>
      </c>
      <c r="C221" s="8" t="s">
        <v>74</v>
      </c>
      <c r="D221" s="8" t="s">
        <v>961</v>
      </c>
      <c r="E221" s="9" t="n">
        <f aca="false">IF(C221="inhibition",-1,1)</f>
        <v>1</v>
      </c>
      <c r="F221" s="10" t="s">
        <v>389</v>
      </c>
      <c r="G221" s="10" t="s">
        <v>389</v>
      </c>
      <c r="H221" s="10" t="s">
        <v>90</v>
      </c>
      <c r="I221" s="8" t="s">
        <v>79</v>
      </c>
      <c r="J221" s="10" t="s">
        <v>91</v>
      </c>
      <c r="K221" s="8" t="s">
        <v>81</v>
      </c>
      <c r="L221" s="10" t="s">
        <v>92</v>
      </c>
      <c r="M221" s="8" t="s">
        <v>82</v>
      </c>
      <c r="N221" s="10" t="s">
        <v>965</v>
      </c>
      <c r="O221" s="11" t="s">
        <v>966</v>
      </c>
      <c r="P221" s="8" t="s">
        <v>967</v>
      </c>
      <c r="Q221" s="10"/>
      <c r="R221" s="10" t="s">
        <v>87</v>
      </c>
      <c r="S221" s="10"/>
    </row>
    <row r="222" customFormat="false" ht="68.65" hidden="false" customHeight="false" outlineLevel="0" collapsed="false">
      <c r="A222" s="8" t="s">
        <v>970</v>
      </c>
      <c r="B222" s="8" t="s">
        <v>161</v>
      </c>
      <c r="C222" s="8" t="s">
        <v>74</v>
      </c>
      <c r="D222" s="8" t="s">
        <v>143</v>
      </c>
      <c r="E222" s="9" t="n">
        <f aca="false">IF(C222="inhibition",-1,1)</f>
        <v>1</v>
      </c>
      <c r="F222" s="10" t="s">
        <v>138</v>
      </c>
      <c r="G222" s="10" t="s">
        <v>138</v>
      </c>
      <c r="H222" s="10" t="s">
        <v>90</v>
      </c>
      <c r="I222" s="8" t="s">
        <v>79</v>
      </c>
      <c r="J222" s="10" t="s">
        <v>98</v>
      </c>
      <c r="K222" s="8" t="s">
        <v>99</v>
      </c>
      <c r="L222" s="10" t="s">
        <v>92</v>
      </c>
      <c r="M222" s="8" t="s">
        <v>82</v>
      </c>
      <c r="N222" s="10" t="s">
        <v>971</v>
      </c>
      <c r="O222" s="11" t="s">
        <v>972</v>
      </c>
      <c r="P222" s="8" t="s">
        <v>973</v>
      </c>
      <c r="Q222" s="10"/>
      <c r="R222" s="10" t="s">
        <v>481</v>
      </c>
      <c r="S222" s="10"/>
    </row>
    <row r="223" customFormat="false" ht="68.65" hidden="false" customHeight="false" outlineLevel="0" collapsed="false">
      <c r="A223" s="8" t="s">
        <v>974</v>
      </c>
      <c r="B223" s="8" t="s">
        <v>151</v>
      </c>
      <c r="C223" s="8" t="s">
        <v>74</v>
      </c>
      <c r="D223" s="8" t="s">
        <v>159</v>
      </c>
      <c r="E223" s="9" t="n">
        <f aca="false">IF(C223="inhibition",-1,1)</f>
        <v>1</v>
      </c>
      <c r="F223" s="10" t="s">
        <v>138</v>
      </c>
      <c r="G223" s="10" t="s">
        <v>138</v>
      </c>
      <c r="H223" s="10" t="s">
        <v>90</v>
      </c>
      <c r="I223" s="8" t="s">
        <v>79</v>
      </c>
      <c r="J223" s="10" t="s">
        <v>98</v>
      </c>
      <c r="K223" s="8" t="s">
        <v>99</v>
      </c>
      <c r="L223" s="10" t="s">
        <v>92</v>
      </c>
      <c r="M223" s="8" t="s">
        <v>82</v>
      </c>
      <c r="N223" s="10" t="s">
        <v>971</v>
      </c>
      <c r="O223" s="11" t="s">
        <v>972</v>
      </c>
      <c r="P223" s="8" t="s">
        <v>973</v>
      </c>
      <c r="Q223" s="10"/>
      <c r="R223" s="10" t="s">
        <v>481</v>
      </c>
      <c r="S223" s="10"/>
    </row>
    <row r="224" customFormat="false" ht="35.05" hidden="false" customHeight="false" outlineLevel="0" collapsed="false">
      <c r="A224" s="8" t="s">
        <v>975</v>
      </c>
      <c r="B224" s="8" t="s">
        <v>447</v>
      </c>
      <c r="C224" s="8" t="s">
        <v>74</v>
      </c>
      <c r="D224" s="8" t="s">
        <v>976</v>
      </c>
      <c r="E224" s="9" t="n">
        <f aca="false">IF(C224="inhibition",-1,1)</f>
        <v>1</v>
      </c>
      <c r="F224" s="10" t="s">
        <v>138</v>
      </c>
      <c r="G224" s="10" t="s">
        <v>138</v>
      </c>
      <c r="H224" s="10" t="s">
        <v>90</v>
      </c>
      <c r="I224" s="8" t="s">
        <v>79</v>
      </c>
      <c r="J224" s="10" t="s">
        <v>378</v>
      </c>
      <c r="K224" s="8" t="s">
        <v>99</v>
      </c>
      <c r="L224" s="10" t="s">
        <v>92</v>
      </c>
      <c r="M224" s="8" t="s">
        <v>82</v>
      </c>
      <c r="N224" s="10" t="s">
        <v>977</v>
      </c>
      <c r="O224" s="8"/>
      <c r="P224" s="8"/>
      <c r="Q224" s="10"/>
      <c r="R224" s="10" t="s">
        <v>198</v>
      </c>
      <c r="S224" s="10"/>
    </row>
    <row r="225" customFormat="false" ht="57.45" hidden="false" customHeight="false" outlineLevel="0" collapsed="false">
      <c r="A225" s="8" t="s">
        <v>978</v>
      </c>
      <c r="B225" s="8" t="s">
        <v>979</v>
      </c>
      <c r="C225" s="8" t="s">
        <v>74</v>
      </c>
      <c r="D225" s="8" t="s">
        <v>976</v>
      </c>
      <c r="E225" s="9" t="n">
        <f aca="false">IF(C225="inhibition",-1,1)</f>
        <v>1</v>
      </c>
      <c r="F225" s="10" t="s">
        <v>166</v>
      </c>
      <c r="G225" s="10" t="s">
        <v>138</v>
      </c>
      <c r="H225" s="10" t="s">
        <v>980</v>
      </c>
      <c r="I225" s="8" t="s">
        <v>145</v>
      </c>
      <c r="J225" s="10" t="s">
        <v>144</v>
      </c>
      <c r="K225" s="8" t="s">
        <v>146</v>
      </c>
      <c r="L225" s="10" t="s">
        <v>144</v>
      </c>
      <c r="M225" s="8" t="s">
        <v>144</v>
      </c>
      <c r="N225" s="10" t="s">
        <v>981</v>
      </c>
      <c r="O225" s="11" t="s">
        <v>982</v>
      </c>
      <c r="P225" s="8" t="s">
        <v>983</v>
      </c>
      <c r="Q225" s="10"/>
      <c r="R225" s="10" t="s">
        <v>87</v>
      </c>
      <c r="S225" s="10"/>
    </row>
    <row r="226" customFormat="false" ht="68.65" hidden="false" customHeight="false" outlineLevel="0" collapsed="false">
      <c r="A226" s="8" t="s">
        <v>984</v>
      </c>
      <c r="B226" s="8" t="s">
        <v>73</v>
      </c>
      <c r="C226" s="8" t="s">
        <v>74</v>
      </c>
      <c r="D226" s="8" t="s">
        <v>985</v>
      </c>
      <c r="E226" s="9" t="n">
        <f aca="false">IF(C226="inhibition",-1,1)</f>
        <v>1</v>
      </c>
      <c r="F226" s="10" t="s">
        <v>76</v>
      </c>
      <c r="G226" s="10" t="s">
        <v>138</v>
      </c>
      <c r="H226" s="10" t="s">
        <v>90</v>
      </c>
      <c r="I226" s="8" t="s">
        <v>79</v>
      </c>
      <c r="J226" s="10" t="s">
        <v>91</v>
      </c>
      <c r="K226" s="8" t="s">
        <v>81</v>
      </c>
      <c r="L226" s="10" t="s">
        <v>92</v>
      </c>
      <c r="M226" s="8" t="s">
        <v>82</v>
      </c>
      <c r="N226" s="10" t="s">
        <v>986</v>
      </c>
      <c r="O226" s="11" t="s">
        <v>987</v>
      </c>
      <c r="P226" s="8" t="s">
        <v>988</v>
      </c>
      <c r="Q226" s="10"/>
      <c r="R226" s="10" t="s">
        <v>87</v>
      </c>
      <c r="S226" s="10"/>
    </row>
    <row r="227" customFormat="false" ht="46.25" hidden="false" customHeight="false" outlineLevel="0" collapsed="false">
      <c r="A227" s="8" t="s">
        <v>989</v>
      </c>
      <c r="B227" s="8" t="s">
        <v>527</v>
      </c>
      <c r="C227" s="8" t="s">
        <v>74</v>
      </c>
      <c r="D227" s="8" t="s">
        <v>990</v>
      </c>
      <c r="E227" s="9" t="n">
        <f aca="false">IF(C227="inhibition",-1,1)</f>
        <v>1</v>
      </c>
      <c r="F227" s="10" t="s">
        <v>389</v>
      </c>
      <c r="G227" s="10" t="s">
        <v>138</v>
      </c>
      <c r="H227" s="10" t="s">
        <v>991</v>
      </c>
      <c r="I227" s="8" t="s">
        <v>79</v>
      </c>
      <c r="J227" s="10" t="s">
        <v>108</v>
      </c>
      <c r="K227" s="8" t="s">
        <v>81</v>
      </c>
      <c r="L227" s="10" t="s">
        <v>100</v>
      </c>
      <c r="M227" s="8" t="s">
        <v>82</v>
      </c>
      <c r="N227" s="10" t="s">
        <v>992</v>
      </c>
      <c r="O227" s="11" t="s">
        <v>993</v>
      </c>
      <c r="P227" s="8" t="s">
        <v>994</v>
      </c>
      <c r="Q227" s="10"/>
      <c r="R227" s="10" t="s">
        <v>87</v>
      </c>
      <c r="S227" s="10"/>
    </row>
    <row r="228" customFormat="false" ht="46.25" hidden="false" customHeight="false" outlineLevel="0" collapsed="false">
      <c r="A228" s="8" t="s">
        <v>995</v>
      </c>
      <c r="B228" s="8" t="s">
        <v>387</v>
      </c>
      <c r="C228" s="8" t="s">
        <v>74</v>
      </c>
      <c r="D228" s="8" t="s">
        <v>996</v>
      </c>
      <c r="E228" s="9" t="n">
        <f aca="false">IF(C228="inhibition",-1,1)</f>
        <v>1</v>
      </c>
      <c r="F228" s="10" t="s">
        <v>389</v>
      </c>
      <c r="G228" s="10" t="s">
        <v>138</v>
      </c>
      <c r="H228" s="10" t="s">
        <v>90</v>
      </c>
      <c r="I228" s="8" t="s">
        <v>79</v>
      </c>
      <c r="J228" s="10" t="s">
        <v>108</v>
      </c>
      <c r="K228" s="8" t="s">
        <v>81</v>
      </c>
      <c r="L228" s="10" t="s">
        <v>100</v>
      </c>
      <c r="M228" s="8" t="s">
        <v>82</v>
      </c>
      <c r="N228" s="10" t="s">
        <v>992</v>
      </c>
      <c r="O228" s="11" t="s">
        <v>993</v>
      </c>
      <c r="P228" s="8" t="s">
        <v>994</v>
      </c>
      <c r="Q228" s="10"/>
      <c r="R228" s="10" t="s">
        <v>87</v>
      </c>
      <c r="S228" s="10"/>
    </row>
    <row r="229" customFormat="false" ht="46.25" hidden="false" customHeight="false" outlineLevel="0" collapsed="false">
      <c r="A229" s="8" t="s">
        <v>997</v>
      </c>
      <c r="B229" s="8" t="s">
        <v>998</v>
      </c>
      <c r="C229" s="8" t="s">
        <v>74</v>
      </c>
      <c r="D229" s="8" t="s">
        <v>322</v>
      </c>
      <c r="E229" s="9" t="n">
        <f aca="false">IF(C229="inhibition",-1,1)</f>
        <v>1</v>
      </c>
      <c r="F229" s="10" t="s">
        <v>306</v>
      </c>
      <c r="G229" s="10" t="s">
        <v>306</v>
      </c>
      <c r="H229" s="10" t="s">
        <v>90</v>
      </c>
      <c r="I229" s="8" t="s">
        <v>79</v>
      </c>
      <c r="J229" s="10" t="s">
        <v>108</v>
      </c>
      <c r="K229" s="8" t="s">
        <v>81</v>
      </c>
      <c r="L229" s="10" t="s">
        <v>92</v>
      </c>
      <c r="M229" s="8" t="s">
        <v>82</v>
      </c>
      <c r="N229" s="10" t="s">
        <v>999</v>
      </c>
      <c r="O229" s="11" t="s">
        <v>1000</v>
      </c>
      <c r="P229" s="8" t="s">
        <v>1001</v>
      </c>
      <c r="Q229" s="10"/>
      <c r="R229" s="10" t="s">
        <v>87</v>
      </c>
      <c r="S229" s="10"/>
    </row>
    <row r="230" customFormat="false" ht="35.05" hidden="false" customHeight="false" outlineLevel="0" collapsed="false">
      <c r="A230" s="8" t="s">
        <v>1002</v>
      </c>
      <c r="B230" s="8" t="s">
        <v>726</v>
      </c>
      <c r="C230" s="8" t="s">
        <v>134</v>
      </c>
      <c r="D230" s="8" t="s">
        <v>322</v>
      </c>
      <c r="E230" s="9" t="n">
        <f aca="false">IF(C230="inhibition",-1,1)</f>
        <v>-1</v>
      </c>
      <c r="F230" s="10" t="s">
        <v>306</v>
      </c>
      <c r="G230" s="10" t="s">
        <v>306</v>
      </c>
      <c r="H230" s="10" t="s">
        <v>1003</v>
      </c>
      <c r="I230" s="8" t="s">
        <v>145</v>
      </c>
      <c r="J230" s="10" t="s">
        <v>1004</v>
      </c>
      <c r="K230" s="8" t="s">
        <v>81</v>
      </c>
      <c r="L230" s="10" t="s">
        <v>82</v>
      </c>
      <c r="M230" s="8" t="s">
        <v>82</v>
      </c>
      <c r="N230" s="10" t="s">
        <v>1005</v>
      </c>
      <c r="O230" s="11" t="s">
        <v>1006</v>
      </c>
      <c r="P230" s="8" t="s">
        <v>1007</v>
      </c>
      <c r="Q230" s="10" t="s">
        <v>1008</v>
      </c>
      <c r="R230" s="10" t="s">
        <v>87</v>
      </c>
      <c r="S230" s="10"/>
    </row>
    <row r="231" customFormat="false" ht="35.05" hidden="false" customHeight="false" outlineLevel="0" collapsed="false">
      <c r="A231" s="8" t="s">
        <v>1009</v>
      </c>
      <c r="B231" s="8" t="s">
        <v>990</v>
      </c>
      <c r="C231" s="8" t="s">
        <v>74</v>
      </c>
      <c r="D231" s="8" t="s">
        <v>161</v>
      </c>
      <c r="E231" s="9" t="n">
        <f aca="false">IF(C231="inhibition",-1,1)</f>
        <v>1</v>
      </c>
      <c r="F231" s="10" t="s">
        <v>138</v>
      </c>
      <c r="G231" s="10" t="s">
        <v>138</v>
      </c>
      <c r="H231" s="10" t="s">
        <v>144</v>
      </c>
      <c r="I231" s="8" t="s">
        <v>145</v>
      </c>
      <c r="J231" s="10" t="s">
        <v>144</v>
      </c>
      <c r="K231" s="8" t="s">
        <v>146</v>
      </c>
      <c r="L231" s="10" t="s">
        <v>144</v>
      </c>
      <c r="M231" s="8" t="s">
        <v>144</v>
      </c>
      <c r="N231" s="10" t="s">
        <v>1010</v>
      </c>
      <c r="O231" s="11" t="s">
        <v>1011</v>
      </c>
      <c r="P231" s="8"/>
      <c r="Q231" s="10"/>
      <c r="R231" s="10" t="s">
        <v>87</v>
      </c>
      <c r="S231" s="10"/>
    </row>
    <row r="232" customFormat="false" ht="35.05" hidden="false" customHeight="false" outlineLevel="0" collapsed="false">
      <c r="A232" s="8" t="s">
        <v>1012</v>
      </c>
      <c r="B232" s="8" t="s">
        <v>1013</v>
      </c>
      <c r="C232" s="8" t="s">
        <v>134</v>
      </c>
      <c r="D232" s="8" t="s">
        <v>161</v>
      </c>
      <c r="E232" s="9" t="n">
        <f aca="false">IF(C232="inhibition",-1,1)</f>
        <v>-1</v>
      </c>
      <c r="F232" s="10" t="s">
        <v>138</v>
      </c>
      <c r="G232" s="10" t="s">
        <v>138</v>
      </c>
      <c r="H232" s="10" t="s">
        <v>512</v>
      </c>
      <c r="I232" s="8" t="s">
        <v>145</v>
      </c>
      <c r="J232" s="10" t="s">
        <v>1014</v>
      </c>
      <c r="K232" s="8" t="s">
        <v>81</v>
      </c>
      <c r="L232" s="10" t="s">
        <v>1015</v>
      </c>
      <c r="M232" s="8" t="s">
        <v>82</v>
      </c>
      <c r="N232" s="10" t="s">
        <v>1016</v>
      </c>
      <c r="O232" s="11" t="s">
        <v>1017</v>
      </c>
      <c r="P232" s="8" t="s">
        <v>1018</v>
      </c>
      <c r="Q232" s="10" t="s">
        <v>1019</v>
      </c>
      <c r="R232" s="10" t="s">
        <v>87</v>
      </c>
      <c r="S232" s="10"/>
    </row>
    <row r="233" customFormat="false" ht="35.05" hidden="false" customHeight="false" outlineLevel="0" collapsed="false">
      <c r="A233" s="8" t="s">
        <v>1020</v>
      </c>
      <c r="B233" s="8" t="s">
        <v>996</v>
      </c>
      <c r="C233" s="8" t="s">
        <v>74</v>
      </c>
      <c r="D233" s="8" t="s">
        <v>151</v>
      </c>
      <c r="E233" s="9" t="n">
        <f aca="false">IF(C233="inhibition",-1,1)</f>
        <v>1</v>
      </c>
      <c r="F233" s="10" t="s">
        <v>138</v>
      </c>
      <c r="G233" s="10" t="s">
        <v>138</v>
      </c>
      <c r="H233" s="10" t="s">
        <v>144</v>
      </c>
      <c r="I233" s="8" t="s">
        <v>145</v>
      </c>
      <c r="J233" s="10" t="s">
        <v>144</v>
      </c>
      <c r="K233" s="8" t="s">
        <v>146</v>
      </c>
      <c r="L233" s="10" t="s">
        <v>144</v>
      </c>
      <c r="M233" s="8" t="s">
        <v>144</v>
      </c>
      <c r="N233" s="10" t="s">
        <v>1010</v>
      </c>
      <c r="O233" s="11" t="s">
        <v>1011</v>
      </c>
      <c r="P233" s="8"/>
      <c r="Q233" s="10"/>
      <c r="R233" s="10" t="s">
        <v>87</v>
      </c>
      <c r="S233" s="10"/>
    </row>
    <row r="234" customFormat="false" ht="46.25" hidden="false" customHeight="false" outlineLevel="0" collapsed="false">
      <c r="A234" s="8" t="s">
        <v>1021</v>
      </c>
      <c r="B234" s="8" t="s">
        <v>164</v>
      </c>
      <c r="C234" s="8" t="s">
        <v>74</v>
      </c>
      <c r="D234" s="8" t="s">
        <v>1022</v>
      </c>
      <c r="E234" s="9" t="n">
        <f aca="false">IF(C234="inhibition",-1,1)</f>
        <v>1</v>
      </c>
      <c r="F234" s="10" t="s">
        <v>166</v>
      </c>
      <c r="G234" s="10" t="s">
        <v>166</v>
      </c>
      <c r="H234" s="10" t="s">
        <v>196</v>
      </c>
      <c r="I234" s="8" t="s">
        <v>145</v>
      </c>
      <c r="J234" s="10" t="s">
        <v>144</v>
      </c>
      <c r="K234" s="8" t="s">
        <v>146</v>
      </c>
      <c r="L234" s="10" t="s">
        <v>144</v>
      </c>
      <c r="M234" s="8" t="s">
        <v>144</v>
      </c>
      <c r="N234" s="10" t="s">
        <v>1023</v>
      </c>
      <c r="O234" s="11" t="s">
        <v>1024</v>
      </c>
      <c r="P234" s="8" t="s">
        <v>1025</v>
      </c>
      <c r="Q234" s="10"/>
      <c r="R234" s="10" t="s">
        <v>87</v>
      </c>
      <c r="S234" s="10"/>
    </row>
    <row r="235" customFormat="false" ht="57.45" hidden="false" customHeight="false" outlineLevel="0" collapsed="false">
      <c r="A235" s="8" t="s">
        <v>1026</v>
      </c>
      <c r="B235" s="8" t="s">
        <v>542</v>
      </c>
      <c r="C235" s="8" t="s">
        <v>74</v>
      </c>
      <c r="D235" s="8" t="s">
        <v>1022</v>
      </c>
      <c r="E235" s="9" t="n">
        <f aca="false">IF(C235="inhibition",-1,1)</f>
        <v>1</v>
      </c>
      <c r="F235" s="10" t="s">
        <v>306</v>
      </c>
      <c r="G235" s="10" t="s">
        <v>166</v>
      </c>
      <c r="H235" s="10" t="s">
        <v>144</v>
      </c>
      <c r="I235" s="8" t="s">
        <v>145</v>
      </c>
      <c r="J235" s="10" t="s">
        <v>144</v>
      </c>
      <c r="K235" s="8" t="s">
        <v>146</v>
      </c>
      <c r="L235" s="10" t="s">
        <v>144</v>
      </c>
      <c r="M235" s="8" t="s">
        <v>144</v>
      </c>
      <c r="N235" s="10" t="s">
        <v>1027</v>
      </c>
      <c r="O235" s="11" t="s">
        <v>1028</v>
      </c>
      <c r="P235" s="8" t="s">
        <v>1029</v>
      </c>
      <c r="Q235" s="10"/>
      <c r="R235" s="10" t="s">
        <v>87</v>
      </c>
      <c r="S235" s="10"/>
    </row>
    <row r="236" customFormat="false" ht="46.25" hidden="false" customHeight="false" outlineLevel="0" collapsed="false">
      <c r="A236" s="8" t="s">
        <v>1030</v>
      </c>
      <c r="B236" s="8" t="s">
        <v>315</v>
      </c>
      <c r="C236" s="8" t="s">
        <v>74</v>
      </c>
      <c r="D236" s="8" t="s">
        <v>1031</v>
      </c>
      <c r="E236" s="9" t="n">
        <f aca="false">IF(C236="inhibition",-1,1)</f>
        <v>1</v>
      </c>
      <c r="F236" s="10" t="s">
        <v>166</v>
      </c>
      <c r="G236" s="10" t="s">
        <v>166</v>
      </c>
      <c r="H236" s="10" t="s">
        <v>196</v>
      </c>
      <c r="I236" s="8" t="s">
        <v>145</v>
      </c>
      <c r="J236" s="10" t="s">
        <v>144</v>
      </c>
      <c r="K236" s="8" t="s">
        <v>146</v>
      </c>
      <c r="L236" s="10" t="s">
        <v>144</v>
      </c>
      <c r="M236" s="8" t="s">
        <v>144</v>
      </c>
      <c r="N236" s="10" t="s">
        <v>1023</v>
      </c>
      <c r="O236" s="11" t="s">
        <v>1024</v>
      </c>
      <c r="P236" s="8" t="s">
        <v>1025</v>
      </c>
      <c r="Q236" s="10"/>
      <c r="R236" s="10" t="s">
        <v>87</v>
      </c>
      <c r="S236" s="10"/>
    </row>
    <row r="237" customFormat="false" ht="57.45" hidden="false" customHeight="false" outlineLevel="0" collapsed="false">
      <c r="A237" s="8" t="s">
        <v>1032</v>
      </c>
      <c r="B237" s="8" t="s">
        <v>526</v>
      </c>
      <c r="C237" s="8" t="s">
        <v>74</v>
      </c>
      <c r="D237" s="8" t="s">
        <v>1031</v>
      </c>
      <c r="E237" s="9" t="n">
        <f aca="false">IF(C237="inhibition",-1,1)</f>
        <v>1</v>
      </c>
      <c r="F237" s="10" t="s">
        <v>306</v>
      </c>
      <c r="G237" s="10" t="s">
        <v>166</v>
      </c>
      <c r="H237" s="10" t="s">
        <v>144</v>
      </c>
      <c r="I237" s="8" t="s">
        <v>145</v>
      </c>
      <c r="J237" s="10" t="s">
        <v>144</v>
      </c>
      <c r="K237" s="8" t="s">
        <v>146</v>
      </c>
      <c r="L237" s="10" t="s">
        <v>144</v>
      </c>
      <c r="M237" s="8" t="s">
        <v>144</v>
      </c>
      <c r="N237" s="10" t="s">
        <v>1027</v>
      </c>
      <c r="O237" s="11" t="s">
        <v>1028</v>
      </c>
      <c r="P237" s="8" t="s">
        <v>1029</v>
      </c>
      <c r="Q237" s="10"/>
      <c r="R237" s="10" t="s">
        <v>87</v>
      </c>
      <c r="S237" s="10"/>
    </row>
    <row r="238" customFormat="false" ht="46.25" hidden="false" customHeight="false" outlineLevel="0" collapsed="false">
      <c r="A238" s="8" t="s">
        <v>1033</v>
      </c>
      <c r="B238" s="8" t="s">
        <v>1034</v>
      </c>
      <c r="C238" s="8" t="s">
        <v>74</v>
      </c>
      <c r="D238" s="8" t="s">
        <v>810</v>
      </c>
      <c r="E238" s="9" t="n">
        <f aca="false">IF(C238="inhibition",-1,1)</f>
        <v>1</v>
      </c>
      <c r="F238" s="10" t="s">
        <v>389</v>
      </c>
      <c r="G238" s="10" t="s">
        <v>389</v>
      </c>
      <c r="H238" s="10" t="s">
        <v>196</v>
      </c>
      <c r="I238" s="8" t="s">
        <v>145</v>
      </c>
      <c r="J238" s="10" t="s">
        <v>144</v>
      </c>
      <c r="K238" s="8" t="s">
        <v>146</v>
      </c>
      <c r="L238" s="10" t="s">
        <v>144</v>
      </c>
      <c r="M238" s="8" t="s">
        <v>144</v>
      </c>
      <c r="N238" s="10" t="s">
        <v>1035</v>
      </c>
      <c r="O238" s="11" t="s">
        <v>1036</v>
      </c>
      <c r="P238" s="8" t="s">
        <v>1037</v>
      </c>
      <c r="Q238" s="10"/>
      <c r="R238" s="10" t="s">
        <v>87</v>
      </c>
      <c r="S238" s="10"/>
    </row>
    <row r="239" customFormat="false" ht="23.85" hidden="false" customHeight="false" outlineLevel="0" collapsed="false">
      <c r="A239" s="8" t="s">
        <v>1038</v>
      </c>
      <c r="B239" s="8" t="s">
        <v>315</v>
      </c>
      <c r="C239" s="8" t="s">
        <v>74</v>
      </c>
      <c r="D239" s="8" t="s">
        <v>979</v>
      </c>
      <c r="E239" s="9" t="n">
        <f aca="false">IF(C239="inhibition",-1,1)</f>
        <v>1</v>
      </c>
      <c r="F239" s="10" t="s">
        <v>166</v>
      </c>
      <c r="G239" s="10" t="s">
        <v>166</v>
      </c>
      <c r="H239" s="10" t="s">
        <v>173</v>
      </c>
      <c r="I239" s="8" t="s">
        <v>127</v>
      </c>
      <c r="J239" s="10" t="s">
        <v>414</v>
      </c>
      <c r="K239" s="8" t="s">
        <v>146</v>
      </c>
      <c r="L239" s="10" t="s">
        <v>92</v>
      </c>
      <c r="M239" s="8" t="s">
        <v>82</v>
      </c>
      <c r="N239" s="10" t="s">
        <v>1039</v>
      </c>
      <c r="O239" s="8"/>
      <c r="P239" s="8" t="s">
        <v>1040</v>
      </c>
      <c r="Q239" s="10"/>
      <c r="R239" s="10" t="s">
        <v>198</v>
      </c>
      <c r="S239" s="10"/>
    </row>
    <row r="240" customFormat="false" ht="46.25" hidden="false" customHeight="false" outlineLevel="0" collapsed="false">
      <c r="A240" s="8" t="s">
        <v>1041</v>
      </c>
      <c r="B240" s="8" t="s">
        <v>200</v>
      </c>
      <c r="C240" s="8" t="s">
        <v>74</v>
      </c>
      <c r="D240" s="8" t="s">
        <v>979</v>
      </c>
      <c r="E240" s="9" t="n">
        <f aca="false">IF(C240="inhibition",-1,1)</f>
        <v>1</v>
      </c>
      <c r="F240" s="10" t="s">
        <v>114</v>
      </c>
      <c r="G240" s="10" t="s">
        <v>166</v>
      </c>
      <c r="H240" s="10" t="s">
        <v>196</v>
      </c>
      <c r="I240" s="8" t="s">
        <v>145</v>
      </c>
      <c r="J240" s="10" t="s">
        <v>144</v>
      </c>
      <c r="K240" s="8" t="s">
        <v>146</v>
      </c>
      <c r="L240" s="10" t="s">
        <v>144</v>
      </c>
      <c r="M240" s="8" t="s">
        <v>144</v>
      </c>
      <c r="N240" s="10" t="s">
        <v>1042</v>
      </c>
      <c r="O240" s="11" t="s">
        <v>1043</v>
      </c>
      <c r="P240" s="8" t="s">
        <v>1044</v>
      </c>
      <c r="Q240" s="10"/>
      <c r="R240" s="10" t="s">
        <v>87</v>
      </c>
      <c r="S240" s="10"/>
    </row>
    <row r="241" customFormat="false" ht="46.25" hidden="false" customHeight="false" outlineLevel="0" collapsed="false">
      <c r="A241" s="8" t="s">
        <v>1045</v>
      </c>
      <c r="B241" s="8" t="s">
        <v>465</v>
      </c>
      <c r="C241" s="8" t="s">
        <v>74</v>
      </c>
      <c r="D241" s="8" t="s">
        <v>979</v>
      </c>
      <c r="E241" s="9" t="n">
        <f aca="false">IF(C241="inhibition",-1,1)</f>
        <v>1</v>
      </c>
      <c r="F241" s="10" t="s">
        <v>114</v>
      </c>
      <c r="G241" s="10" t="s">
        <v>166</v>
      </c>
      <c r="H241" s="10" t="s">
        <v>196</v>
      </c>
      <c r="I241" s="8" t="s">
        <v>145</v>
      </c>
      <c r="J241" s="10" t="s">
        <v>144</v>
      </c>
      <c r="K241" s="8" t="s">
        <v>146</v>
      </c>
      <c r="L241" s="10" t="s">
        <v>144</v>
      </c>
      <c r="M241" s="8" t="s">
        <v>144</v>
      </c>
      <c r="N241" s="10" t="s">
        <v>1042</v>
      </c>
      <c r="O241" s="11" t="s">
        <v>1043</v>
      </c>
      <c r="P241" s="8" t="s">
        <v>1044</v>
      </c>
      <c r="Q241" s="10"/>
      <c r="R241" s="10" t="s">
        <v>87</v>
      </c>
      <c r="S241" s="10"/>
    </row>
    <row r="242" customFormat="false" ht="68.65" hidden="false" customHeight="false" outlineLevel="0" collapsed="false">
      <c r="A242" s="8" t="s">
        <v>1046</v>
      </c>
      <c r="B242" s="8" t="s">
        <v>125</v>
      </c>
      <c r="C242" s="8" t="s">
        <v>74</v>
      </c>
      <c r="D242" s="8" t="s">
        <v>979</v>
      </c>
      <c r="E242" s="9" t="n">
        <f aca="false">IF(C242="inhibition",-1,1)</f>
        <v>1</v>
      </c>
      <c r="F242" s="10" t="s">
        <v>114</v>
      </c>
      <c r="G242" s="10" t="s">
        <v>166</v>
      </c>
      <c r="H242" s="10" t="s">
        <v>144</v>
      </c>
      <c r="I242" s="8" t="s">
        <v>145</v>
      </c>
      <c r="J242" s="10" t="s">
        <v>144</v>
      </c>
      <c r="K242" s="8" t="s">
        <v>146</v>
      </c>
      <c r="L242" s="10" t="s">
        <v>144</v>
      </c>
      <c r="M242" s="8" t="s">
        <v>144</v>
      </c>
      <c r="N242" s="10" t="s">
        <v>1047</v>
      </c>
      <c r="O242" s="11" t="s">
        <v>1048</v>
      </c>
      <c r="P242" s="8" t="s">
        <v>1049</v>
      </c>
      <c r="Q242" s="10"/>
      <c r="R242" s="10" t="s">
        <v>87</v>
      </c>
      <c r="S242" s="10"/>
    </row>
    <row r="243" customFormat="false" ht="46.25" hidden="false" customHeight="false" outlineLevel="0" collapsed="false">
      <c r="A243" s="8" t="s">
        <v>1050</v>
      </c>
      <c r="B243" s="8" t="s">
        <v>151</v>
      </c>
      <c r="C243" s="8" t="s">
        <v>74</v>
      </c>
      <c r="D243" s="8" t="s">
        <v>487</v>
      </c>
      <c r="E243" s="9" t="n">
        <f aca="false">IF(C243="inhibition",-1,1)</f>
        <v>1</v>
      </c>
      <c r="F243" s="10" t="s">
        <v>138</v>
      </c>
      <c r="G243" s="10" t="s">
        <v>166</v>
      </c>
      <c r="H243" s="10" t="s">
        <v>144</v>
      </c>
      <c r="I243" s="8" t="s">
        <v>145</v>
      </c>
      <c r="J243" s="10" t="s">
        <v>144</v>
      </c>
      <c r="K243" s="8" t="s">
        <v>146</v>
      </c>
      <c r="L243" s="10" t="s">
        <v>144</v>
      </c>
      <c r="M243" s="8" t="s">
        <v>144</v>
      </c>
      <c r="N243" s="10" t="s">
        <v>1051</v>
      </c>
      <c r="O243" s="11" t="s">
        <v>1052</v>
      </c>
      <c r="P243" s="8" t="s">
        <v>1053</v>
      </c>
      <c r="Q243" s="10"/>
      <c r="R243" s="10" t="s">
        <v>87</v>
      </c>
      <c r="S243" s="10"/>
    </row>
    <row r="244" customFormat="false" ht="46.25" hidden="false" customHeight="false" outlineLevel="0" collapsed="false">
      <c r="A244" s="8" t="s">
        <v>1054</v>
      </c>
      <c r="B244" s="8" t="s">
        <v>161</v>
      </c>
      <c r="C244" s="8" t="s">
        <v>74</v>
      </c>
      <c r="D244" s="8" t="s">
        <v>766</v>
      </c>
      <c r="E244" s="9" t="n">
        <f aca="false">IF(C244="inhibition",-1,1)</f>
        <v>1</v>
      </c>
      <c r="F244" s="10" t="s">
        <v>138</v>
      </c>
      <c r="G244" s="10" t="s">
        <v>166</v>
      </c>
      <c r="H244" s="10" t="s">
        <v>144</v>
      </c>
      <c r="I244" s="8" t="s">
        <v>145</v>
      </c>
      <c r="J244" s="10" t="s">
        <v>144</v>
      </c>
      <c r="K244" s="8" t="s">
        <v>146</v>
      </c>
      <c r="L244" s="10" t="s">
        <v>144</v>
      </c>
      <c r="M244" s="8" t="s">
        <v>144</v>
      </c>
      <c r="N244" s="10" t="s">
        <v>1051</v>
      </c>
      <c r="O244" s="11" t="s">
        <v>1052</v>
      </c>
      <c r="P244" s="8" t="s">
        <v>1053</v>
      </c>
      <c r="Q244" s="10"/>
      <c r="R244" s="10" t="s">
        <v>87</v>
      </c>
      <c r="S244" s="10"/>
    </row>
    <row r="245" customFormat="false" ht="35.05" hidden="false" customHeight="false" outlineLevel="0" collapsed="false">
      <c r="A245" s="8" t="s">
        <v>1055</v>
      </c>
      <c r="B245" s="8" t="s">
        <v>1031</v>
      </c>
      <c r="C245" s="8" t="s">
        <v>74</v>
      </c>
      <c r="D245" s="8" t="s">
        <v>903</v>
      </c>
      <c r="E245" s="9" t="n">
        <f aca="false">IF(C245="inhibition",-1,1)</f>
        <v>1</v>
      </c>
      <c r="F245" s="10" t="s">
        <v>166</v>
      </c>
      <c r="G245" s="10" t="s">
        <v>138</v>
      </c>
      <c r="H245" s="10" t="s">
        <v>980</v>
      </c>
      <c r="I245" s="8" t="s">
        <v>145</v>
      </c>
      <c r="J245" s="10" t="s">
        <v>1056</v>
      </c>
      <c r="K245" s="8" t="s">
        <v>146</v>
      </c>
      <c r="L245" s="10" t="s">
        <v>92</v>
      </c>
      <c r="M245" s="8" t="s">
        <v>82</v>
      </c>
      <c r="N245" s="10" t="s">
        <v>1057</v>
      </c>
      <c r="O245" s="11" t="s">
        <v>1058</v>
      </c>
      <c r="P245" s="8" t="s">
        <v>1059</v>
      </c>
      <c r="Q245" s="10"/>
      <c r="R245" s="10" t="s">
        <v>87</v>
      </c>
      <c r="S245" s="10"/>
    </row>
    <row r="246" customFormat="false" ht="35.05" hidden="false" customHeight="false" outlineLevel="0" collapsed="false">
      <c r="A246" s="8" t="s">
        <v>1060</v>
      </c>
      <c r="B246" s="8" t="s">
        <v>1022</v>
      </c>
      <c r="C246" s="8" t="s">
        <v>74</v>
      </c>
      <c r="D246" s="8" t="s">
        <v>903</v>
      </c>
      <c r="E246" s="9" t="n">
        <f aca="false">IF(C246="inhibition",-1,1)</f>
        <v>1</v>
      </c>
      <c r="F246" s="10" t="s">
        <v>166</v>
      </c>
      <c r="G246" s="10" t="s">
        <v>138</v>
      </c>
      <c r="H246" s="10" t="s">
        <v>980</v>
      </c>
      <c r="I246" s="8" t="s">
        <v>145</v>
      </c>
      <c r="J246" s="10" t="s">
        <v>1056</v>
      </c>
      <c r="K246" s="8" t="s">
        <v>146</v>
      </c>
      <c r="L246" s="10" t="s">
        <v>92</v>
      </c>
      <c r="M246" s="8" t="s">
        <v>82</v>
      </c>
      <c r="N246" s="10" t="s">
        <v>1057</v>
      </c>
      <c r="O246" s="11" t="s">
        <v>1058</v>
      </c>
      <c r="P246" s="8" t="s">
        <v>1059</v>
      </c>
      <c r="Q246" s="10"/>
      <c r="R246" s="10" t="s">
        <v>87</v>
      </c>
      <c r="S246" s="10"/>
    </row>
    <row r="247" customFormat="false" ht="35.05" hidden="false" customHeight="false" outlineLevel="0" collapsed="false">
      <c r="A247" s="8" t="s">
        <v>1061</v>
      </c>
      <c r="B247" s="8" t="s">
        <v>964</v>
      </c>
      <c r="C247" s="8" t="s">
        <v>74</v>
      </c>
      <c r="D247" s="8" t="s">
        <v>903</v>
      </c>
      <c r="E247" s="9" t="n">
        <f aca="false">IF(C247="inhibition",-1,1)</f>
        <v>1</v>
      </c>
      <c r="F247" s="10" t="s">
        <v>389</v>
      </c>
      <c r="G247" s="10" t="s">
        <v>138</v>
      </c>
      <c r="H247" s="10" t="s">
        <v>181</v>
      </c>
      <c r="I247" s="8" t="s">
        <v>145</v>
      </c>
      <c r="J247" s="10" t="s">
        <v>1062</v>
      </c>
      <c r="K247" s="8" t="s">
        <v>146</v>
      </c>
      <c r="L247" s="10" t="s">
        <v>82</v>
      </c>
      <c r="M247" s="8" t="s">
        <v>82</v>
      </c>
      <c r="N247" s="10" t="s">
        <v>1063</v>
      </c>
      <c r="O247" s="11" t="s">
        <v>1064</v>
      </c>
      <c r="P247" s="8" t="s">
        <v>1065</v>
      </c>
      <c r="Q247" s="10" t="s">
        <v>1066</v>
      </c>
      <c r="R247" s="10" t="s">
        <v>87</v>
      </c>
      <c r="S247" s="10"/>
    </row>
    <row r="248" customFormat="false" ht="35.05" hidden="false" customHeight="false" outlineLevel="0" collapsed="false">
      <c r="A248" s="8" t="s">
        <v>1067</v>
      </c>
      <c r="B248" s="8" t="s">
        <v>969</v>
      </c>
      <c r="C248" s="8" t="s">
        <v>74</v>
      </c>
      <c r="D248" s="8" t="s">
        <v>903</v>
      </c>
      <c r="E248" s="9" t="n">
        <f aca="false">IF(C248="inhibition",-1,1)</f>
        <v>1</v>
      </c>
      <c r="F248" s="10" t="s">
        <v>389</v>
      </c>
      <c r="G248" s="10" t="s">
        <v>138</v>
      </c>
      <c r="H248" s="10" t="s">
        <v>181</v>
      </c>
      <c r="I248" s="8" t="s">
        <v>145</v>
      </c>
      <c r="J248" s="10" t="s">
        <v>1062</v>
      </c>
      <c r="K248" s="8" t="s">
        <v>146</v>
      </c>
      <c r="L248" s="10" t="s">
        <v>82</v>
      </c>
      <c r="M248" s="8" t="s">
        <v>82</v>
      </c>
      <c r="N248" s="10" t="s">
        <v>1063</v>
      </c>
      <c r="O248" s="11" t="s">
        <v>1064</v>
      </c>
      <c r="P248" s="8" t="s">
        <v>1065</v>
      </c>
      <c r="Q248" s="10" t="s">
        <v>1068</v>
      </c>
      <c r="R248" s="10" t="s">
        <v>87</v>
      </c>
      <c r="S248" s="10"/>
    </row>
    <row r="249" customFormat="false" ht="68.65" hidden="false" customHeight="false" outlineLevel="0" collapsed="false">
      <c r="A249" s="8" t="s">
        <v>1069</v>
      </c>
      <c r="B249" s="8" t="s">
        <v>89</v>
      </c>
      <c r="C249" s="8" t="s">
        <v>134</v>
      </c>
      <c r="D249" s="8" t="s">
        <v>903</v>
      </c>
      <c r="E249" s="9" t="n">
        <f aca="false">IF(C249="inhibition",-1,1)</f>
        <v>-1</v>
      </c>
      <c r="F249" s="10" t="s">
        <v>76</v>
      </c>
      <c r="G249" s="10" t="s">
        <v>138</v>
      </c>
      <c r="H249" s="10" t="s">
        <v>196</v>
      </c>
      <c r="I249" s="8" t="s">
        <v>145</v>
      </c>
      <c r="J249" s="10" t="s">
        <v>378</v>
      </c>
      <c r="K249" s="8" t="s">
        <v>99</v>
      </c>
      <c r="L249" s="10" t="s">
        <v>249</v>
      </c>
      <c r="M249" s="8" t="s">
        <v>249</v>
      </c>
      <c r="N249" s="10" t="s">
        <v>1070</v>
      </c>
      <c r="O249" s="11" t="s">
        <v>1071</v>
      </c>
      <c r="P249" s="8" t="s">
        <v>1072</v>
      </c>
      <c r="Q249" s="10"/>
      <c r="R249" s="10" t="s">
        <v>87</v>
      </c>
      <c r="S249" s="10"/>
    </row>
    <row r="250" customFormat="false" ht="57.45" hidden="false" customHeight="false" outlineLevel="0" collapsed="false">
      <c r="A250" s="8" t="s">
        <v>1073</v>
      </c>
      <c r="B250" s="8" t="s">
        <v>157</v>
      </c>
      <c r="C250" s="8" t="s">
        <v>74</v>
      </c>
      <c r="D250" s="8" t="s">
        <v>89</v>
      </c>
      <c r="E250" s="9" t="n">
        <f aca="false">IF(C250="inhibition",-1,1)</f>
        <v>1</v>
      </c>
      <c r="F250" s="10" t="s">
        <v>138</v>
      </c>
      <c r="G250" s="10" t="s">
        <v>76</v>
      </c>
      <c r="H250" s="10" t="s">
        <v>90</v>
      </c>
      <c r="I250" s="8" t="s">
        <v>79</v>
      </c>
      <c r="J250" s="10" t="s">
        <v>108</v>
      </c>
      <c r="K250" s="8" t="s">
        <v>81</v>
      </c>
      <c r="L250" s="10" t="s">
        <v>92</v>
      </c>
      <c r="M250" s="8" t="s">
        <v>82</v>
      </c>
      <c r="N250" s="10" t="s">
        <v>1074</v>
      </c>
      <c r="O250" s="11" t="s">
        <v>1075</v>
      </c>
      <c r="P250" s="8" t="s">
        <v>1076</v>
      </c>
      <c r="Q250" s="10"/>
      <c r="R250" s="10" t="s">
        <v>87</v>
      </c>
      <c r="S250" s="10"/>
    </row>
    <row r="251" customFormat="false" ht="46.25" hidden="false" customHeight="false" outlineLevel="0" collapsed="false">
      <c r="A251" s="8" t="s">
        <v>1077</v>
      </c>
      <c r="B251" s="8" t="s">
        <v>165</v>
      </c>
      <c r="C251" s="8" t="s">
        <v>74</v>
      </c>
      <c r="D251" s="8" t="s">
        <v>89</v>
      </c>
      <c r="E251" s="9" t="n">
        <f aca="false">IF(C251="inhibition",-1,1)</f>
        <v>1</v>
      </c>
      <c r="F251" s="10" t="s">
        <v>138</v>
      </c>
      <c r="G251" s="10" t="s">
        <v>76</v>
      </c>
      <c r="H251" s="10" t="s">
        <v>173</v>
      </c>
      <c r="I251" s="8" t="s">
        <v>127</v>
      </c>
      <c r="J251" s="10" t="s">
        <v>174</v>
      </c>
      <c r="K251" s="8" t="s">
        <v>99</v>
      </c>
      <c r="L251" s="10" t="s">
        <v>92</v>
      </c>
      <c r="M251" s="8" t="s">
        <v>82</v>
      </c>
      <c r="N251" s="10" t="s">
        <v>584</v>
      </c>
      <c r="O251" s="11" t="s">
        <v>585</v>
      </c>
      <c r="P251" s="8" t="s">
        <v>586</v>
      </c>
      <c r="Q251" s="10"/>
      <c r="R251" s="10" t="s">
        <v>87</v>
      </c>
      <c r="S251" s="10"/>
    </row>
    <row r="252" customFormat="false" ht="57.45" hidden="false" customHeight="false" outlineLevel="0" collapsed="false">
      <c r="A252" s="8" t="s">
        <v>1078</v>
      </c>
      <c r="B252" s="8" t="s">
        <v>300</v>
      </c>
      <c r="C252" s="8" t="s">
        <v>74</v>
      </c>
      <c r="D252" s="8" t="s">
        <v>89</v>
      </c>
      <c r="E252" s="9" t="n">
        <f aca="false">IF(C252="inhibition",-1,1)</f>
        <v>1</v>
      </c>
      <c r="F252" s="10" t="s">
        <v>76</v>
      </c>
      <c r="G252" s="10" t="s">
        <v>76</v>
      </c>
      <c r="H252" s="10" t="s">
        <v>144</v>
      </c>
      <c r="I252" s="8" t="s">
        <v>145</v>
      </c>
      <c r="J252" s="10" t="s">
        <v>144</v>
      </c>
      <c r="K252" s="8" t="s">
        <v>146</v>
      </c>
      <c r="L252" s="10" t="s">
        <v>144</v>
      </c>
      <c r="M252" s="8" t="s">
        <v>144</v>
      </c>
      <c r="N252" s="10" t="s">
        <v>1079</v>
      </c>
      <c r="O252" s="11" t="s">
        <v>1080</v>
      </c>
      <c r="P252" s="8" t="s">
        <v>1081</v>
      </c>
      <c r="Q252" s="10"/>
      <c r="R252" s="10" t="s">
        <v>87</v>
      </c>
      <c r="S252" s="10"/>
    </row>
    <row r="253" customFormat="false" ht="46.25" hidden="false" customHeight="false" outlineLevel="0" collapsed="false">
      <c r="A253" s="8" t="s">
        <v>1082</v>
      </c>
      <c r="B253" s="8" t="s">
        <v>201</v>
      </c>
      <c r="C253" s="8" t="s">
        <v>134</v>
      </c>
      <c r="D253" s="8" t="s">
        <v>89</v>
      </c>
      <c r="E253" s="9" t="n">
        <f aca="false">IF(C253="inhibition",-1,1)</f>
        <v>-1</v>
      </c>
      <c r="F253" s="10" t="s">
        <v>76</v>
      </c>
      <c r="G253" s="10" t="s">
        <v>76</v>
      </c>
      <c r="H253" s="10" t="s">
        <v>173</v>
      </c>
      <c r="I253" s="8" t="s">
        <v>127</v>
      </c>
      <c r="J253" s="10" t="s">
        <v>414</v>
      </c>
      <c r="K253" s="8" t="s">
        <v>146</v>
      </c>
      <c r="L253" s="10" t="s">
        <v>92</v>
      </c>
      <c r="M253" s="8" t="s">
        <v>82</v>
      </c>
      <c r="N253" s="10" t="s">
        <v>1083</v>
      </c>
      <c r="O253" s="8"/>
      <c r="P253" s="8"/>
      <c r="Q253" s="10"/>
      <c r="R253" s="10" t="s">
        <v>198</v>
      </c>
      <c r="S253" s="10"/>
    </row>
    <row r="254" customFormat="false" ht="46.25" hidden="false" customHeight="false" outlineLevel="0" collapsed="false">
      <c r="A254" s="8" t="s">
        <v>1084</v>
      </c>
      <c r="B254" s="8" t="s">
        <v>120</v>
      </c>
      <c r="C254" s="8" t="s">
        <v>134</v>
      </c>
      <c r="D254" s="8" t="s">
        <v>89</v>
      </c>
      <c r="E254" s="9" t="n">
        <f aca="false">IF(C254="inhibition",-1,1)</f>
        <v>-1</v>
      </c>
      <c r="F254" s="10" t="s">
        <v>76</v>
      </c>
      <c r="G254" s="10" t="s">
        <v>76</v>
      </c>
      <c r="H254" s="10" t="s">
        <v>173</v>
      </c>
      <c r="I254" s="8" t="s">
        <v>127</v>
      </c>
      <c r="J254" s="10" t="s">
        <v>81</v>
      </c>
      <c r="K254" s="8" t="s">
        <v>81</v>
      </c>
      <c r="L254" s="10" t="s">
        <v>100</v>
      </c>
      <c r="M254" s="8" t="s">
        <v>82</v>
      </c>
      <c r="N254" s="10" t="s">
        <v>1085</v>
      </c>
      <c r="O254" s="11" t="s">
        <v>1086</v>
      </c>
      <c r="P254" s="8"/>
      <c r="Q254" s="10"/>
      <c r="R254" s="10" t="s">
        <v>87</v>
      </c>
      <c r="S254" s="10"/>
    </row>
    <row r="255" customFormat="false" ht="57.45" hidden="false" customHeight="false" outlineLevel="0" collapsed="false">
      <c r="A255" s="8" t="s">
        <v>1087</v>
      </c>
      <c r="B255" s="8" t="s">
        <v>351</v>
      </c>
      <c r="C255" s="8" t="s">
        <v>74</v>
      </c>
      <c r="D255" s="8" t="s">
        <v>1013</v>
      </c>
      <c r="E255" s="9" t="n">
        <f aca="false">IF(C255="inhibition",-1,1)</f>
        <v>1</v>
      </c>
      <c r="F255" s="10" t="s">
        <v>76</v>
      </c>
      <c r="G255" s="10" t="s">
        <v>138</v>
      </c>
      <c r="H255" s="10" t="s">
        <v>144</v>
      </c>
      <c r="I255" s="8" t="s">
        <v>145</v>
      </c>
      <c r="J255" s="10" t="s">
        <v>144</v>
      </c>
      <c r="K255" s="8" t="s">
        <v>146</v>
      </c>
      <c r="L255" s="10" t="s">
        <v>144</v>
      </c>
      <c r="M255" s="8" t="s">
        <v>144</v>
      </c>
      <c r="N255" s="10" t="s">
        <v>1088</v>
      </c>
      <c r="O255" s="11" t="s">
        <v>1089</v>
      </c>
      <c r="P255" s="8" t="s">
        <v>1090</v>
      </c>
      <c r="Q255" s="10"/>
      <c r="R255" s="10" t="s">
        <v>87</v>
      </c>
      <c r="S255" s="10"/>
    </row>
    <row r="256" customFormat="false" ht="46.25" hidden="false" customHeight="false" outlineLevel="0" collapsed="false">
      <c r="A256" s="8" t="s">
        <v>1091</v>
      </c>
      <c r="B256" s="8" t="s">
        <v>89</v>
      </c>
      <c r="C256" s="8" t="s">
        <v>74</v>
      </c>
      <c r="D256" s="8" t="s">
        <v>1013</v>
      </c>
      <c r="E256" s="9" t="n">
        <f aca="false">IF(C256="inhibition",-1,1)</f>
        <v>1</v>
      </c>
      <c r="F256" s="10" t="s">
        <v>76</v>
      </c>
      <c r="G256" s="10" t="s">
        <v>138</v>
      </c>
      <c r="H256" s="10" t="s">
        <v>181</v>
      </c>
      <c r="I256" s="8" t="s">
        <v>145</v>
      </c>
      <c r="J256" s="10" t="s">
        <v>1092</v>
      </c>
      <c r="K256" s="8" t="s">
        <v>81</v>
      </c>
      <c r="L256" s="10" t="s">
        <v>82</v>
      </c>
      <c r="M256" s="8" t="s">
        <v>82</v>
      </c>
      <c r="N256" s="10" t="s">
        <v>1093</v>
      </c>
      <c r="O256" s="11" t="s">
        <v>1094</v>
      </c>
      <c r="P256" s="8" t="s">
        <v>1095</v>
      </c>
      <c r="Q256" s="10" t="s">
        <v>1096</v>
      </c>
      <c r="R256" s="10" t="s">
        <v>87</v>
      </c>
      <c r="S256" s="10"/>
    </row>
    <row r="257" customFormat="false" ht="46.25" hidden="false" customHeight="false" outlineLevel="0" collapsed="false">
      <c r="A257" s="8" t="s">
        <v>1097</v>
      </c>
      <c r="B257" s="8" t="s">
        <v>693</v>
      </c>
      <c r="C257" s="8" t="s">
        <v>74</v>
      </c>
      <c r="D257" s="8" t="s">
        <v>1013</v>
      </c>
      <c r="E257" s="9" t="n">
        <f aca="false">IF(C257="inhibition",-1,1)</f>
        <v>1</v>
      </c>
      <c r="F257" s="10" t="s">
        <v>138</v>
      </c>
      <c r="G257" s="10" t="s">
        <v>138</v>
      </c>
      <c r="H257" s="10" t="s">
        <v>290</v>
      </c>
      <c r="I257" s="8" t="s">
        <v>145</v>
      </c>
      <c r="J257" s="10" t="s">
        <v>144</v>
      </c>
      <c r="K257" s="8" t="s">
        <v>146</v>
      </c>
      <c r="L257" s="10" t="s">
        <v>144</v>
      </c>
      <c r="M257" s="8" t="s">
        <v>144</v>
      </c>
      <c r="N257" s="10" t="s">
        <v>1098</v>
      </c>
      <c r="O257" s="11" t="s">
        <v>1099</v>
      </c>
      <c r="P257" s="8" t="s">
        <v>1100</v>
      </c>
      <c r="Q257" s="10"/>
      <c r="R257" s="10" t="s">
        <v>87</v>
      </c>
      <c r="S257" s="10"/>
    </row>
    <row r="258" customFormat="false" ht="46.25" hidden="false" customHeight="false" outlineLevel="0" collapsed="false">
      <c r="A258" s="8" t="s">
        <v>1101</v>
      </c>
      <c r="B258" s="8" t="s">
        <v>387</v>
      </c>
      <c r="C258" s="8" t="s">
        <v>74</v>
      </c>
      <c r="D258" s="8" t="s">
        <v>969</v>
      </c>
      <c r="E258" s="9" t="n">
        <f aca="false">IF(C258="inhibition",-1,1)</f>
        <v>1</v>
      </c>
      <c r="F258" s="10" t="s">
        <v>389</v>
      </c>
      <c r="G258" s="10" t="s">
        <v>389</v>
      </c>
      <c r="H258" s="10" t="s">
        <v>144</v>
      </c>
      <c r="I258" s="8" t="s">
        <v>145</v>
      </c>
      <c r="J258" s="10" t="s">
        <v>144</v>
      </c>
      <c r="K258" s="8" t="s">
        <v>146</v>
      </c>
      <c r="L258" s="10" t="s">
        <v>144</v>
      </c>
      <c r="M258" s="8" t="s">
        <v>144</v>
      </c>
      <c r="N258" s="10" t="s">
        <v>1102</v>
      </c>
      <c r="O258" s="11" t="s">
        <v>1103</v>
      </c>
      <c r="P258" s="8" t="s">
        <v>1104</v>
      </c>
      <c r="Q258" s="10"/>
      <c r="R258" s="10" t="s">
        <v>87</v>
      </c>
      <c r="S258" s="10"/>
    </row>
    <row r="259" customFormat="false" ht="68.65" hidden="false" customHeight="false" outlineLevel="0" collapsed="false">
      <c r="A259" s="8" t="s">
        <v>1105</v>
      </c>
      <c r="B259" s="8" t="s">
        <v>1034</v>
      </c>
      <c r="C259" s="8" t="s">
        <v>134</v>
      </c>
      <c r="D259" s="8" t="s">
        <v>969</v>
      </c>
      <c r="E259" s="9" t="n">
        <f aca="false">IF(C259="inhibition",-1,1)</f>
        <v>-1</v>
      </c>
      <c r="F259" s="10" t="s">
        <v>389</v>
      </c>
      <c r="G259" s="10" t="s">
        <v>389</v>
      </c>
      <c r="H259" s="10" t="s">
        <v>181</v>
      </c>
      <c r="I259" s="8" t="s">
        <v>145</v>
      </c>
      <c r="J259" s="10" t="s">
        <v>1106</v>
      </c>
      <c r="K259" s="8" t="s">
        <v>81</v>
      </c>
      <c r="L259" s="10" t="s">
        <v>82</v>
      </c>
      <c r="M259" s="8" t="s">
        <v>82</v>
      </c>
      <c r="N259" s="10" t="s">
        <v>1107</v>
      </c>
      <c r="O259" s="11" t="s">
        <v>1108</v>
      </c>
      <c r="P259" s="8" t="s">
        <v>1109</v>
      </c>
      <c r="Q259" s="10" t="s">
        <v>1110</v>
      </c>
      <c r="R259" s="10" t="s">
        <v>87</v>
      </c>
      <c r="S259" s="10"/>
    </row>
    <row r="260" customFormat="false" ht="46.25" hidden="false" customHeight="false" outlineLevel="0" collapsed="false">
      <c r="A260" s="8" t="s">
        <v>1111</v>
      </c>
      <c r="B260" s="8" t="s">
        <v>527</v>
      </c>
      <c r="C260" s="8" t="s">
        <v>74</v>
      </c>
      <c r="D260" s="8" t="s">
        <v>964</v>
      </c>
      <c r="E260" s="9" t="n">
        <f aca="false">IF(C260="inhibition",-1,1)</f>
        <v>1</v>
      </c>
      <c r="F260" s="10" t="s">
        <v>389</v>
      </c>
      <c r="G260" s="10" t="s">
        <v>389</v>
      </c>
      <c r="H260" s="10" t="s">
        <v>144</v>
      </c>
      <c r="I260" s="8" t="s">
        <v>145</v>
      </c>
      <c r="J260" s="10" t="s">
        <v>144</v>
      </c>
      <c r="K260" s="8" t="s">
        <v>146</v>
      </c>
      <c r="L260" s="10" t="s">
        <v>144</v>
      </c>
      <c r="M260" s="8" t="s">
        <v>144</v>
      </c>
      <c r="N260" s="10" t="s">
        <v>1102</v>
      </c>
      <c r="O260" s="11" t="s">
        <v>1103</v>
      </c>
      <c r="P260" s="8" t="s">
        <v>1104</v>
      </c>
      <c r="Q260" s="10"/>
      <c r="R260" s="10" t="s">
        <v>87</v>
      </c>
      <c r="S260" s="10"/>
    </row>
    <row r="261" customFormat="false" ht="68.65" hidden="false" customHeight="false" outlineLevel="0" collapsed="false">
      <c r="A261" s="8" t="s">
        <v>1112</v>
      </c>
      <c r="B261" s="8" t="s">
        <v>1113</v>
      </c>
      <c r="C261" s="8" t="s">
        <v>134</v>
      </c>
      <c r="D261" s="8" t="s">
        <v>964</v>
      </c>
      <c r="E261" s="9" t="n">
        <f aca="false">IF(C261="inhibition",-1,1)</f>
        <v>-1</v>
      </c>
      <c r="F261" s="10" t="s">
        <v>389</v>
      </c>
      <c r="G261" s="10" t="s">
        <v>389</v>
      </c>
      <c r="H261" s="10" t="s">
        <v>181</v>
      </c>
      <c r="I261" s="8" t="s">
        <v>145</v>
      </c>
      <c r="J261" s="10" t="s">
        <v>1106</v>
      </c>
      <c r="K261" s="8" t="s">
        <v>81</v>
      </c>
      <c r="L261" s="10" t="s">
        <v>82</v>
      </c>
      <c r="M261" s="8" t="s">
        <v>82</v>
      </c>
      <c r="N261" s="10" t="s">
        <v>1114</v>
      </c>
      <c r="O261" s="11" t="s">
        <v>1108</v>
      </c>
      <c r="P261" s="8" t="s">
        <v>1109</v>
      </c>
      <c r="Q261" s="10" t="s">
        <v>1115</v>
      </c>
      <c r="R261" s="10" t="s">
        <v>87</v>
      </c>
      <c r="S261" s="10"/>
    </row>
    <row r="262" customFormat="false" ht="57.45" hidden="false" customHeight="false" outlineLevel="0" collapsed="false">
      <c r="A262" s="8" t="s">
        <v>1116</v>
      </c>
      <c r="B262" s="8" t="s">
        <v>1117</v>
      </c>
      <c r="C262" s="8" t="s">
        <v>74</v>
      </c>
      <c r="D262" s="8" t="s">
        <v>831</v>
      </c>
      <c r="E262" s="9" t="n">
        <f aca="false">IF(C262="inhibition",-1,1)</f>
        <v>1</v>
      </c>
      <c r="F262" s="10" t="s">
        <v>114</v>
      </c>
      <c r="G262" s="10" t="s">
        <v>114</v>
      </c>
      <c r="H262" s="10" t="s">
        <v>832</v>
      </c>
      <c r="I262" s="8" t="s">
        <v>145</v>
      </c>
      <c r="J262" s="10" t="s">
        <v>144</v>
      </c>
      <c r="K262" s="8" t="s">
        <v>146</v>
      </c>
      <c r="L262" s="10" t="s">
        <v>144</v>
      </c>
      <c r="M262" s="8" t="s">
        <v>144</v>
      </c>
      <c r="N262" s="10" t="s">
        <v>833</v>
      </c>
      <c r="O262" s="11" t="s">
        <v>834</v>
      </c>
      <c r="P262" s="8" t="s">
        <v>835</v>
      </c>
      <c r="Q262" s="10"/>
      <c r="R262" s="10" t="s">
        <v>87</v>
      </c>
      <c r="S262" s="10"/>
    </row>
    <row r="263" customFormat="false" ht="57.45" hidden="false" customHeight="false" outlineLevel="0" collapsed="false">
      <c r="A263" s="8" t="s">
        <v>1118</v>
      </c>
      <c r="B263" s="8" t="s">
        <v>1119</v>
      </c>
      <c r="C263" s="8" t="s">
        <v>74</v>
      </c>
      <c r="D263" s="8" t="s">
        <v>837</v>
      </c>
      <c r="E263" s="9" t="n">
        <f aca="false">IF(C263="inhibition",-1,1)</f>
        <v>1</v>
      </c>
      <c r="F263" s="10" t="s">
        <v>114</v>
      </c>
      <c r="G263" s="10" t="s">
        <v>114</v>
      </c>
      <c r="H263" s="10" t="s">
        <v>832</v>
      </c>
      <c r="I263" s="8" t="s">
        <v>145</v>
      </c>
      <c r="J263" s="10" t="s">
        <v>144</v>
      </c>
      <c r="K263" s="8" t="s">
        <v>146</v>
      </c>
      <c r="L263" s="10" t="s">
        <v>144</v>
      </c>
      <c r="M263" s="8" t="s">
        <v>144</v>
      </c>
      <c r="N263" s="10" t="s">
        <v>833</v>
      </c>
      <c r="O263" s="11" t="s">
        <v>834</v>
      </c>
      <c r="P263" s="8" t="s">
        <v>835</v>
      </c>
      <c r="Q263" s="10"/>
      <c r="R263" s="10" t="s">
        <v>87</v>
      </c>
      <c r="S263" s="10"/>
    </row>
    <row r="264" customFormat="false" ht="35.05" hidden="false" customHeight="false" outlineLevel="0" collapsed="false">
      <c r="A264" s="8" t="s">
        <v>1120</v>
      </c>
      <c r="B264" s="8" t="s">
        <v>527</v>
      </c>
      <c r="C264" s="8" t="s">
        <v>74</v>
      </c>
      <c r="D264" s="8" t="s">
        <v>1117</v>
      </c>
      <c r="E264" s="9" t="n">
        <f aca="false">IF(C264="inhibition",-1,1)</f>
        <v>1</v>
      </c>
      <c r="F264" s="10" t="s">
        <v>389</v>
      </c>
      <c r="G264" s="10" t="s">
        <v>114</v>
      </c>
      <c r="H264" s="10" t="s">
        <v>144</v>
      </c>
      <c r="I264" s="8" t="s">
        <v>145</v>
      </c>
      <c r="J264" s="10" t="s">
        <v>144</v>
      </c>
      <c r="K264" s="8" t="s">
        <v>146</v>
      </c>
      <c r="L264" s="10" t="s">
        <v>144</v>
      </c>
      <c r="M264" s="8" t="s">
        <v>144</v>
      </c>
      <c r="N264" s="10" t="s">
        <v>1121</v>
      </c>
      <c r="O264" s="11" t="s">
        <v>1122</v>
      </c>
      <c r="P264" s="8"/>
      <c r="Q264" s="10"/>
      <c r="R264" s="10" t="s">
        <v>87</v>
      </c>
      <c r="S264" s="10"/>
    </row>
    <row r="265" customFormat="false" ht="35.05" hidden="false" customHeight="false" outlineLevel="0" collapsed="false">
      <c r="A265" s="8" t="s">
        <v>1123</v>
      </c>
      <c r="B265" s="8" t="s">
        <v>387</v>
      </c>
      <c r="C265" s="8" t="s">
        <v>74</v>
      </c>
      <c r="D265" s="8" t="s">
        <v>1119</v>
      </c>
      <c r="E265" s="9" t="n">
        <f aca="false">IF(C265="inhibition",-1,1)</f>
        <v>1</v>
      </c>
      <c r="F265" s="10" t="s">
        <v>389</v>
      </c>
      <c r="G265" s="10" t="s">
        <v>114</v>
      </c>
      <c r="H265" s="10" t="s">
        <v>144</v>
      </c>
      <c r="I265" s="8" t="s">
        <v>145</v>
      </c>
      <c r="J265" s="10" t="s">
        <v>144</v>
      </c>
      <c r="K265" s="8" t="s">
        <v>146</v>
      </c>
      <c r="L265" s="10" t="s">
        <v>144</v>
      </c>
      <c r="M265" s="8" t="s">
        <v>144</v>
      </c>
      <c r="N265" s="10" t="s">
        <v>1121</v>
      </c>
      <c r="O265" s="11" t="s">
        <v>1122</v>
      </c>
      <c r="P265" s="8"/>
      <c r="Q265" s="10"/>
      <c r="R265" s="10" t="s">
        <v>87</v>
      </c>
      <c r="S265" s="10"/>
    </row>
    <row r="266" customFormat="false" ht="35.05" hidden="false" customHeight="false" outlineLevel="0" collapsed="false">
      <c r="A266" s="8" t="s">
        <v>1124</v>
      </c>
      <c r="B266" s="8" t="s">
        <v>137</v>
      </c>
      <c r="C266" s="8" t="s">
        <v>74</v>
      </c>
      <c r="D266" s="8" t="s">
        <v>908</v>
      </c>
      <c r="E266" s="9" t="n">
        <f aca="false">IF(C266="inhibition",-1,1)</f>
        <v>1</v>
      </c>
      <c r="F266" s="10" t="s">
        <v>138</v>
      </c>
      <c r="G266" s="10" t="s">
        <v>138</v>
      </c>
      <c r="H266" s="10" t="s">
        <v>173</v>
      </c>
      <c r="I266" s="8" t="s">
        <v>127</v>
      </c>
      <c r="J266" s="10" t="s">
        <v>108</v>
      </c>
      <c r="K266" s="8" t="s">
        <v>81</v>
      </c>
      <c r="L266" s="10" t="s">
        <v>92</v>
      </c>
      <c r="M266" s="8" t="s">
        <v>82</v>
      </c>
      <c r="N266" s="10" t="s">
        <v>1125</v>
      </c>
      <c r="O266" s="8"/>
      <c r="P266" s="8"/>
      <c r="Q266" s="10"/>
      <c r="R266" s="10" t="s">
        <v>198</v>
      </c>
      <c r="S266" s="10"/>
    </row>
    <row r="267" customFormat="false" ht="35.05" hidden="false" customHeight="false" outlineLevel="0" collapsed="false">
      <c r="A267" s="8" t="s">
        <v>1126</v>
      </c>
      <c r="B267" s="8" t="s">
        <v>157</v>
      </c>
      <c r="C267" s="8" t="s">
        <v>74</v>
      </c>
      <c r="D267" s="8" t="s">
        <v>908</v>
      </c>
      <c r="E267" s="9" t="n">
        <f aca="false">IF(C267="inhibition",-1,1)</f>
        <v>1</v>
      </c>
      <c r="F267" s="10" t="s">
        <v>138</v>
      </c>
      <c r="G267" s="10" t="s">
        <v>138</v>
      </c>
      <c r="H267" s="10" t="s">
        <v>173</v>
      </c>
      <c r="I267" s="8" t="s">
        <v>127</v>
      </c>
      <c r="J267" s="10" t="s">
        <v>108</v>
      </c>
      <c r="K267" s="8" t="s">
        <v>81</v>
      </c>
      <c r="L267" s="10" t="s">
        <v>92</v>
      </c>
      <c r="M267" s="8" t="s">
        <v>82</v>
      </c>
      <c r="N267" s="10" t="s">
        <v>1125</v>
      </c>
      <c r="O267" s="8"/>
      <c r="P267" s="8"/>
      <c r="Q267" s="10"/>
      <c r="R267" s="10" t="s">
        <v>198</v>
      </c>
      <c r="S267" s="10"/>
    </row>
    <row r="268" customFormat="false" ht="46.25" hidden="false" customHeight="false" outlineLevel="0" collapsed="false">
      <c r="A268" s="8" t="s">
        <v>1127</v>
      </c>
      <c r="B268" s="8" t="s">
        <v>465</v>
      </c>
      <c r="C268" s="8" t="s">
        <v>74</v>
      </c>
      <c r="D268" s="8" t="s">
        <v>908</v>
      </c>
      <c r="E268" s="9" t="n">
        <f aca="false">IF(C268="inhibition",-1,1)</f>
        <v>1</v>
      </c>
      <c r="F268" s="10" t="s">
        <v>114</v>
      </c>
      <c r="G268" s="10" t="s">
        <v>138</v>
      </c>
      <c r="H268" s="10" t="s">
        <v>144</v>
      </c>
      <c r="I268" s="8" t="s">
        <v>145</v>
      </c>
      <c r="J268" s="10" t="s">
        <v>144</v>
      </c>
      <c r="K268" s="8" t="s">
        <v>146</v>
      </c>
      <c r="L268" s="10" t="s">
        <v>144</v>
      </c>
      <c r="M268" s="8" t="s">
        <v>144</v>
      </c>
      <c r="N268" s="10" t="s">
        <v>898</v>
      </c>
      <c r="O268" s="11" t="s">
        <v>899</v>
      </c>
      <c r="P268" s="8" t="s">
        <v>900</v>
      </c>
      <c r="Q268" s="10"/>
      <c r="R268" s="10" t="s">
        <v>87</v>
      </c>
      <c r="S268" s="10"/>
    </row>
    <row r="269" customFormat="false" ht="35.05" hidden="false" customHeight="false" outlineLevel="0" collapsed="false">
      <c r="A269" s="8" t="s">
        <v>1128</v>
      </c>
      <c r="B269" s="8" t="s">
        <v>165</v>
      </c>
      <c r="C269" s="8" t="s">
        <v>134</v>
      </c>
      <c r="D269" s="8" t="s">
        <v>908</v>
      </c>
      <c r="E269" s="9" t="n">
        <f aca="false">IF(C269="inhibition",-1,1)</f>
        <v>-1</v>
      </c>
      <c r="F269" s="10" t="s">
        <v>138</v>
      </c>
      <c r="G269" s="10" t="s">
        <v>138</v>
      </c>
      <c r="H269" s="10" t="s">
        <v>173</v>
      </c>
      <c r="I269" s="8" t="s">
        <v>127</v>
      </c>
      <c r="J269" s="10" t="s">
        <v>98</v>
      </c>
      <c r="K269" s="8" t="s">
        <v>99</v>
      </c>
      <c r="L269" s="10" t="s">
        <v>92</v>
      </c>
      <c r="M269" s="8" t="s">
        <v>82</v>
      </c>
      <c r="N269" s="10" t="s">
        <v>1129</v>
      </c>
      <c r="O269" s="8"/>
      <c r="P269" s="8"/>
      <c r="Q269" s="10"/>
      <c r="R269" s="10" t="s">
        <v>198</v>
      </c>
      <c r="S269" s="10"/>
    </row>
    <row r="270" customFormat="false" ht="57.45" hidden="false" customHeight="false" outlineLevel="0" collapsed="false">
      <c r="A270" s="8" t="s">
        <v>1130</v>
      </c>
      <c r="B270" s="8" t="s">
        <v>472</v>
      </c>
      <c r="C270" s="8" t="s">
        <v>134</v>
      </c>
      <c r="D270" s="8" t="s">
        <v>908</v>
      </c>
      <c r="E270" s="9" t="n">
        <f aca="false">IF(C270="inhibition",-1,1)</f>
        <v>-1</v>
      </c>
      <c r="F270" s="10" t="s">
        <v>138</v>
      </c>
      <c r="G270" s="10" t="s">
        <v>138</v>
      </c>
      <c r="H270" s="10" t="s">
        <v>144</v>
      </c>
      <c r="I270" s="8" t="s">
        <v>145</v>
      </c>
      <c r="J270" s="10" t="s">
        <v>144</v>
      </c>
      <c r="K270" s="8" t="s">
        <v>146</v>
      </c>
      <c r="L270" s="10" t="s">
        <v>144</v>
      </c>
      <c r="M270" s="8" t="s">
        <v>144</v>
      </c>
      <c r="N270" s="10" t="s">
        <v>1131</v>
      </c>
      <c r="O270" s="11" t="s">
        <v>1132</v>
      </c>
      <c r="P270" s="8" t="s">
        <v>1133</v>
      </c>
      <c r="Q270" s="10"/>
      <c r="R270" s="10" t="s">
        <v>87</v>
      </c>
      <c r="S270" s="10"/>
    </row>
    <row r="271" customFormat="false" ht="46.25" hidden="false" customHeight="false" outlineLevel="0" collapsed="false">
      <c r="A271" s="8" t="s">
        <v>1134</v>
      </c>
      <c r="B271" s="8" t="s">
        <v>527</v>
      </c>
      <c r="C271" s="8" t="s">
        <v>74</v>
      </c>
      <c r="D271" s="8" t="s">
        <v>1034</v>
      </c>
      <c r="E271" s="9" t="n">
        <f aca="false">IF(C271="inhibition",-1,1)</f>
        <v>1</v>
      </c>
      <c r="F271" s="10" t="s">
        <v>389</v>
      </c>
      <c r="G271" s="10" t="s">
        <v>389</v>
      </c>
      <c r="H271" s="10" t="s">
        <v>144</v>
      </c>
      <c r="I271" s="8" t="s">
        <v>145</v>
      </c>
      <c r="J271" s="10" t="s">
        <v>144</v>
      </c>
      <c r="K271" s="8" t="s">
        <v>146</v>
      </c>
      <c r="L271" s="10" t="s">
        <v>144</v>
      </c>
      <c r="M271" s="8" t="s">
        <v>144</v>
      </c>
      <c r="N271" s="10" t="s">
        <v>1135</v>
      </c>
      <c r="O271" s="11" t="s">
        <v>1136</v>
      </c>
      <c r="P271" s="8" t="s">
        <v>1137</v>
      </c>
      <c r="Q271" s="10"/>
      <c r="R271" s="10" t="s">
        <v>87</v>
      </c>
      <c r="S271" s="10"/>
    </row>
    <row r="272" customFormat="false" ht="46.25" hidden="false" customHeight="false" outlineLevel="0" collapsed="false">
      <c r="A272" s="8" t="s">
        <v>1138</v>
      </c>
      <c r="B272" s="8" t="s">
        <v>387</v>
      </c>
      <c r="C272" s="8" t="s">
        <v>74</v>
      </c>
      <c r="D272" s="8" t="s">
        <v>1113</v>
      </c>
      <c r="E272" s="9" t="n">
        <f aca="false">IF(C272="inhibition",-1,1)</f>
        <v>1</v>
      </c>
      <c r="F272" s="10" t="s">
        <v>389</v>
      </c>
      <c r="G272" s="10" t="s">
        <v>389</v>
      </c>
      <c r="H272" s="10" t="s">
        <v>144</v>
      </c>
      <c r="I272" s="8" t="s">
        <v>145</v>
      </c>
      <c r="J272" s="10" t="s">
        <v>144</v>
      </c>
      <c r="K272" s="8" t="s">
        <v>146</v>
      </c>
      <c r="L272" s="10" t="s">
        <v>144</v>
      </c>
      <c r="M272" s="8" t="s">
        <v>144</v>
      </c>
      <c r="N272" s="10" t="s">
        <v>1135</v>
      </c>
      <c r="O272" s="11" t="s">
        <v>1136</v>
      </c>
      <c r="P272" s="8" t="s">
        <v>1137</v>
      </c>
      <c r="Q272" s="10"/>
      <c r="R272" s="10" t="s">
        <v>87</v>
      </c>
      <c r="S272" s="10"/>
    </row>
    <row r="273" customFormat="false" ht="35.05" hidden="false" customHeight="false" outlineLevel="0" collapsed="false">
      <c r="A273" s="8" t="s">
        <v>1139</v>
      </c>
      <c r="B273" s="8" t="s">
        <v>1034</v>
      </c>
      <c r="C273" s="8" t="s">
        <v>74</v>
      </c>
      <c r="D273" s="8" t="s">
        <v>803</v>
      </c>
      <c r="E273" s="9" t="n">
        <f aca="false">IF(C273="inhibition",-1,1)</f>
        <v>1</v>
      </c>
      <c r="F273" s="10" t="s">
        <v>389</v>
      </c>
      <c r="G273" s="10" t="s">
        <v>389</v>
      </c>
      <c r="H273" s="10" t="s">
        <v>436</v>
      </c>
      <c r="I273" s="8" t="s">
        <v>79</v>
      </c>
      <c r="J273" s="10" t="s">
        <v>91</v>
      </c>
      <c r="K273" s="8" t="s">
        <v>81</v>
      </c>
      <c r="L273" s="10" t="s">
        <v>437</v>
      </c>
      <c r="M273" s="8" t="s">
        <v>438</v>
      </c>
      <c r="N273" s="10" t="s">
        <v>1140</v>
      </c>
      <c r="O273" s="11" t="s">
        <v>1141</v>
      </c>
      <c r="P273" s="8"/>
      <c r="Q273" s="10"/>
      <c r="R273" s="10" t="s">
        <v>481</v>
      </c>
      <c r="S273" s="10"/>
    </row>
    <row r="274" customFormat="false" ht="35.05" hidden="false" customHeight="false" outlineLevel="0" collapsed="false">
      <c r="A274" s="8" t="s">
        <v>1142</v>
      </c>
      <c r="B274" s="8" t="s">
        <v>1113</v>
      </c>
      <c r="C274" s="8" t="s">
        <v>74</v>
      </c>
      <c r="D274" s="8" t="s">
        <v>808</v>
      </c>
      <c r="E274" s="9" t="n">
        <f aca="false">IF(C274="inhibition",-1,1)</f>
        <v>1</v>
      </c>
      <c r="F274" s="10" t="s">
        <v>389</v>
      </c>
      <c r="G274" s="10" t="s">
        <v>389</v>
      </c>
      <c r="H274" s="10" t="s">
        <v>436</v>
      </c>
      <c r="I274" s="8" t="s">
        <v>79</v>
      </c>
      <c r="J274" s="10" t="s">
        <v>91</v>
      </c>
      <c r="K274" s="8" t="s">
        <v>81</v>
      </c>
      <c r="L274" s="10" t="s">
        <v>437</v>
      </c>
      <c r="M274" s="8" t="s">
        <v>438</v>
      </c>
      <c r="N274" s="10" t="s">
        <v>1140</v>
      </c>
      <c r="O274" s="11" t="s">
        <v>1141</v>
      </c>
      <c r="P274" s="8"/>
      <c r="Q274" s="10"/>
      <c r="R274" s="10" t="s">
        <v>481</v>
      </c>
      <c r="S274" s="10"/>
    </row>
    <row r="275" customFormat="false" ht="35.05" hidden="false" customHeight="false" outlineLevel="0" collapsed="false">
      <c r="A275" s="8" t="s">
        <v>1143</v>
      </c>
      <c r="B275" s="8" t="s">
        <v>315</v>
      </c>
      <c r="C275" s="8" t="s">
        <v>74</v>
      </c>
      <c r="D275" s="8" t="s">
        <v>179</v>
      </c>
      <c r="E275" s="9" t="n">
        <f aca="false">IF(C275="inhibition",-1,1)</f>
        <v>1</v>
      </c>
      <c r="F275" s="10" t="s">
        <v>166</v>
      </c>
      <c r="G275" s="10" t="s">
        <v>180</v>
      </c>
      <c r="H275" s="10" t="s">
        <v>196</v>
      </c>
      <c r="I275" s="8" t="s">
        <v>145</v>
      </c>
      <c r="J275" s="10" t="s">
        <v>144</v>
      </c>
      <c r="K275" s="8" t="s">
        <v>146</v>
      </c>
      <c r="L275" s="10" t="s">
        <v>144</v>
      </c>
      <c r="M275" s="8" t="s">
        <v>144</v>
      </c>
      <c r="N275" s="10" t="s">
        <v>1144</v>
      </c>
      <c r="O275" s="11" t="s">
        <v>1145</v>
      </c>
      <c r="P275" s="8" t="s">
        <v>1146</v>
      </c>
      <c r="Q275" s="10"/>
      <c r="R275" s="10" t="s">
        <v>87</v>
      </c>
      <c r="S275" s="10"/>
    </row>
    <row r="276" customFormat="false" ht="46.25" hidden="false" customHeight="false" outlineLevel="0" collapsed="false">
      <c r="A276" s="8" t="s">
        <v>1147</v>
      </c>
      <c r="B276" s="8" t="s">
        <v>493</v>
      </c>
      <c r="C276" s="8" t="s">
        <v>74</v>
      </c>
      <c r="D276" s="8" t="s">
        <v>179</v>
      </c>
      <c r="E276" s="9" t="n">
        <f aca="false">IF(C276="inhibition",-1,1)</f>
        <v>1</v>
      </c>
      <c r="F276" s="10" t="s">
        <v>255</v>
      </c>
      <c r="G276" s="10" t="s">
        <v>180</v>
      </c>
      <c r="H276" s="10" t="s">
        <v>78</v>
      </c>
      <c r="I276" s="8" t="s">
        <v>79</v>
      </c>
      <c r="J276" s="10" t="s">
        <v>80</v>
      </c>
      <c r="K276" s="8" t="s">
        <v>81</v>
      </c>
      <c r="L276" s="10" t="s">
        <v>1148</v>
      </c>
      <c r="M276" s="8" t="s">
        <v>216</v>
      </c>
      <c r="N276" s="10" t="s">
        <v>1149</v>
      </c>
      <c r="O276" s="11" t="s">
        <v>1150</v>
      </c>
      <c r="P276" s="8" t="s">
        <v>1151</v>
      </c>
      <c r="Q276" s="10" t="s">
        <v>1152</v>
      </c>
      <c r="R276" s="10" t="s">
        <v>87</v>
      </c>
      <c r="S276" s="10"/>
    </row>
    <row r="277" customFormat="false" ht="57.45" hidden="false" customHeight="false" outlineLevel="0" collapsed="false">
      <c r="A277" s="8" t="s">
        <v>1153</v>
      </c>
      <c r="B277" s="8" t="s">
        <v>803</v>
      </c>
      <c r="C277" s="8" t="s">
        <v>74</v>
      </c>
      <c r="D277" s="8" t="s">
        <v>179</v>
      </c>
      <c r="E277" s="9" t="n">
        <f aca="false">IF(C277="inhibition",-1,1)</f>
        <v>1</v>
      </c>
      <c r="F277" s="10" t="s">
        <v>389</v>
      </c>
      <c r="G277" s="10" t="s">
        <v>180</v>
      </c>
      <c r="H277" s="10" t="s">
        <v>196</v>
      </c>
      <c r="I277" s="8" t="s">
        <v>145</v>
      </c>
      <c r="J277" s="10" t="s">
        <v>144</v>
      </c>
      <c r="K277" s="8" t="s">
        <v>146</v>
      </c>
      <c r="L277" s="10" t="s">
        <v>144</v>
      </c>
      <c r="M277" s="8" t="s">
        <v>144</v>
      </c>
      <c r="N277" s="10" t="s">
        <v>1154</v>
      </c>
      <c r="O277" s="11" t="s">
        <v>1155</v>
      </c>
      <c r="P277" s="8" t="s">
        <v>1156</v>
      </c>
      <c r="Q277" s="10"/>
      <c r="R277" s="10" t="s">
        <v>87</v>
      </c>
      <c r="S277" s="10"/>
    </row>
    <row r="278" customFormat="false" ht="46.25" hidden="false" customHeight="false" outlineLevel="0" collapsed="false">
      <c r="A278" s="8" t="s">
        <v>1157</v>
      </c>
      <c r="B278" s="8" t="s">
        <v>1158</v>
      </c>
      <c r="C278" s="8" t="s">
        <v>134</v>
      </c>
      <c r="D278" s="8" t="s">
        <v>179</v>
      </c>
      <c r="E278" s="9" t="n">
        <f aca="false">IF(C278="inhibition",-1,1)</f>
        <v>-1</v>
      </c>
      <c r="F278" s="10" t="s">
        <v>138</v>
      </c>
      <c r="G278" s="10" t="s">
        <v>180</v>
      </c>
      <c r="H278" s="10" t="s">
        <v>78</v>
      </c>
      <c r="I278" s="8" t="s">
        <v>79</v>
      </c>
      <c r="J278" s="10" t="s">
        <v>1159</v>
      </c>
      <c r="K278" s="8" t="s">
        <v>99</v>
      </c>
      <c r="L278" s="10" t="s">
        <v>1160</v>
      </c>
      <c r="M278" s="8" t="s">
        <v>216</v>
      </c>
      <c r="N278" s="10" t="s">
        <v>1161</v>
      </c>
      <c r="O278" s="11" t="s">
        <v>1162</v>
      </c>
      <c r="P278" s="8" t="s">
        <v>1163</v>
      </c>
      <c r="Q278" s="10" t="s">
        <v>1164</v>
      </c>
      <c r="R278" s="10" t="s">
        <v>87</v>
      </c>
      <c r="S278" s="10"/>
    </row>
    <row r="279" customFormat="false" ht="35.05" hidden="false" customHeight="false" outlineLevel="0" collapsed="false">
      <c r="A279" s="8" t="s">
        <v>1165</v>
      </c>
      <c r="B279" s="8" t="s">
        <v>465</v>
      </c>
      <c r="C279" s="8" t="s">
        <v>74</v>
      </c>
      <c r="D279" s="8" t="s">
        <v>467</v>
      </c>
      <c r="E279" s="9" t="n">
        <f aca="false">IF(C279="inhibition",-1,1)</f>
        <v>1</v>
      </c>
      <c r="F279" s="10" t="s">
        <v>114</v>
      </c>
      <c r="G279" s="10" t="s">
        <v>114</v>
      </c>
      <c r="H279" s="10" t="s">
        <v>144</v>
      </c>
      <c r="I279" s="8" t="s">
        <v>145</v>
      </c>
      <c r="J279" s="10" t="s">
        <v>144</v>
      </c>
      <c r="K279" s="8" t="s">
        <v>146</v>
      </c>
      <c r="L279" s="10" t="s">
        <v>144</v>
      </c>
      <c r="M279" s="8" t="s">
        <v>144</v>
      </c>
      <c r="N279" s="10" t="s">
        <v>1166</v>
      </c>
      <c r="O279" s="11" t="s">
        <v>1167</v>
      </c>
      <c r="P279" s="8" t="s">
        <v>1168</v>
      </c>
      <c r="Q279" s="10"/>
      <c r="R279" s="10" t="s">
        <v>87</v>
      </c>
      <c r="S279" s="10"/>
    </row>
    <row r="280" customFormat="false" ht="35.05" hidden="false" customHeight="false" outlineLevel="0" collapsed="false">
      <c r="A280" s="8" t="s">
        <v>1169</v>
      </c>
      <c r="B280" s="8" t="s">
        <v>200</v>
      </c>
      <c r="C280" s="8" t="s">
        <v>74</v>
      </c>
      <c r="D280" s="8" t="s">
        <v>289</v>
      </c>
      <c r="E280" s="9" t="n">
        <f aca="false">IF(C280="inhibition",-1,1)</f>
        <v>1</v>
      </c>
      <c r="F280" s="10" t="s">
        <v>114</v>
      </c>
      <c r="G280" s="10" t="s">
        <v>76</v>
      </c>
      <c r="H280" s="10" t="s">
        <v>196</v>
      </c>
      <c r="I280" s="8" t="s">
        <v>145</v>
      </c>
      <c r="J280" s="10" t="s">
        <v>144</v>
      </c>
      <c r="K280" s="8" t="s">
        <v>146</v>
      </c>
      <c r="L280" s="10" t="s">
        <v>144</v>
      </c>
      <c r="M280" s="8" t="s">
        <v>144</v>
      </c>
      <c r="N280" s="10" t="s">
        <v>1170</v>
      </c>
      <c r="O280" s="8"/>
      <c r="P280" s="8"/>
      <c r="Q280" s="10"/>
      <c r="R280" s="10" t="s">
        <v>198</v>
      </c>
      <c r="S280" s="10"/>
    </row>
    <row r="281" customFormat="false" ht="68.65" hidden="false" customHeight="false" outlineLevel="0" collapsed="false">
      <c r="A281" s="8" t="s">
        <v>1171</v>
      </c>
      <c r="B281" s="8" t="s">
        <v>465</v>
      </c>
      <c r="C281" s="8" t="s">
        <v>74</v>
      </c>
      <c r="D281" s="8" t="s">
        <v>289</v>
      </c>
      <c r="E281" s="9" t="n">
        <f aca="false">IF(C281="inhibition",-1,1)</f>
        <v>1</v>
      </c>
      <c r="F281" s="10" t="s">
        <v>114</v>
      </c>
      <c r="G281" s="10" t="s">
        <v>76</v>
      </c>
      <c r="H281" s="10" t="s">
        <v>144</v>
      </c>
      <c r="I281" s="8" t="s">
        <v>145</v>
      </c>
      <c r="J281" s="10" t="s">
        <v>144</v>
      </c>
      <c r="K281" s="8" t="s">
        <v>146</v>
      </c>
      <c r="L281" s="10" t="s">
        <v>144</v>
      </c>
      <c r="M281" s="8" t="s">
        <v>144</v>
      </c>
      <c r="N281" s="10" t="s">
        <v>1172</v>
      </c>
      <c r="O281" s="11" t="s">
        <v>1173</v>
      </c>
      <c r="P281" s="8" t="s">
        <v>1174</v>
      </c>
      <c r="Q281" s="10"/>
      <c r="R281" s="10" t="s">
        <v>481</v>
      </c>
      <c r="S281" s="10"/>
    </row>
    <row r="282" customFormat="false" ht="68.65" hidden="false" customHeight="false" outlineLevel="0" collapsed="false">
      <c r="A282" s="8" t="s">
        <v>1175</v>
      </c>
      <c r="B282" s="8" t="s">
        <v>125</v>
      </c>
      <c r="C282" s="8" t="s">
        <v>74</v>
      </c>
      <c r="D282" s="8" t="s">
        <v>289</v>
      </c>
      <c r="E282" s="9" t="n">
        <f aca="false">IF(C282="inhibition",-1,1)</f>
        <v>1</v>
      </c>
      <c r="F282" s="10" t="s">
        <v>114</v>
      </c>
      <c r="G282" s="10" t="s">
        <v>76</v>
      </c>
      <c r="H282" s="10" t="s">
        <v>144</v>
      </c>
      <c r="I282" s="8" t="s">
        <v>145</v>
      </c>
      <c r="J282" s="10" t="s">
        <v>144</v>
      </c>
      <c r="K282" s="8" t="s">
        <v>146</v>
      </c>
      <c r="L282" s="10" t="s">
        <v>144</v>
      </c>
      <c r="M282" s="8" t="s">
        <v>144</v>
      </c>
      <c r="N282" s="10" t="s">
        <v>1172</v>
      </c>
      <c r="O282" s="11" t="s">
        <v>1173</v>
      </c>
      <c r="P282" s="8" t="s">
        <v>1174</v>
      </c>
      <c r="Q282" s="10"/>
      <c r="R282" s="10" t="s">
        <v>481</v>
      </c>
      <c r="S282" s="10"/>
    </row>
    <row r="283" customFormat="false" ht="35.05" hidden="false" customHeight="false" outlineLevel="0" collapsed="false">
      <c r="A283" s="8" t="s">
        <v>1176</v>
      </c>
      <c r="B283" s="8" t="s">
        <v>97</v>
      </c>
      <c r="C283" s="8" t="s">
        <v>134</v>
      </c>
      <c r="D283" s="8" t="s">
        <v>289</v>
      </c>
      <c r="E283" s="9" t="n">
        <f aca="false">IF(C283="inhibition",-1,1)</f>
        <v>-1</v>
      </c>
      <c r="F283" s="10" t="s">
        <v>76</v>
      </c>
      <c r="G283" s="10" t="s">
        <v>76</v>
      </c>
      <c r="H283" s="10" t="s">
        <v>208</v>
      </c>
      <c r="I283" s="8" t="s">
        <v>127</v>
      </c>
      <c r="J283" s="10" t="s">
        <v>108</v>
      </c>
      <c r="K283" s="8" t="s">
        <v>81</v>
      </c>
      <c r="L283" s="10" t="s">
        <v>92</v>
      </c>
      <c r="M283" s="8" t="s">
        <v>82</v>
      </c>
      <c r="N283" s="10" t="s">
        <v>1177</v>
      </c>
      <c r="O283" s="11" t="s">
        <v>1178</v>
      </c>
      <c r="P283" s="8" t="s">
        <v>1179</v>
      </c>
      <c r="Q283" s="10"/>
      <c r="R283" s="10" t="s">
        <v>87</v>
      </c>
      <c r="S283" s="10"/>
    </row>
    <row r="284" customFormat="false" ht="57.45" hidden="false" customHeight="false" outlineLevel="0" collapsed="false">
      <c r="A284" s="8" t="s">
        <v>1180</v>
      </c>
      <c r="B284" s="8" t="s">
        <v>1181</v>
      </c>
      <c r="C284" s="8" t="s">
        <v>74</v>
      </c>
      <c r="D284" s="8" t="s">
        <v>693</v>
      </c>
      <c r="E284" s="9" t="n">
        <f aca="false">IF(C284="inhibition",-1,1)</f>
        <v>1</v>
      </c>
      <c r="F284" s="10" t="s">
        <v>138</v>
      </c>
      <c r="G284" s="10" t="s">
        <v>138</v>
      </c>
      <c r="H284" s="10" t="s">
        <v>90</v>
      </c>
      <c r="I284" s="8" t="s">
        <v>79</v>
      </c>
      <c r="J284" s="10" t="s">
        <v>108</v>
      </c>
      <c r="K284" s="8" t="s">
        <v>81</v>
      </c>
      <c r="L284" s="10" t="s">
        <v>92</v>
      </c>
      <c r="M284" s="8" t="s">
        <v>82</v>
      </c>
      <c r="N284" s="10" t="s">
        <v>1182</v>
      </c>
      <c r="O284" s="11" t="s">
        <v>1183</v>
      </c>
      <c r="P284" s="8" t="s">
        <v>1184</v>
      </c>
      <c r="Q284" s="10"/>
      <c r="R284" s="10" t="s">
        <v>87</v>
      </c>
      <c r="S284" s="10"/>
    </row>
    <row r="285" customFormat="false" ht="57.45" hidden="false" customHeight="false" outlineLevel="0" collapsed="false">
      <c r="A285" s="8" t="s">
        <v>1185</v>
      </c>
      <c r="B285" s="8" t="s">
        <v>227</v>
      </c>
      <c r="C285" s="8" t="s">
        <v>74</v>
      </c>
      <c r="D285" s="8" t="s">
        <v>1186</v>
      </c>
      <c r="E285" s="9" t="n">
        <f aca="false">IF(C285="inhibition",-1,1)</f>
        <v>1</v>
      </c>
      <c r="F285" s="10" t="s">
        <v>76</v>
      </c>
      <c r="G285" s="10" t="s">
        <v>195</v>
      </c>
      <c r="H285" s="10" t="s">
        <v>716</v>
      </c>
      <c r="I285" s="8" t="s">
        <v>79</v>
      </c>
      <c r="J285" s="10" t="s">
        <v>248</v>
      </c>
      <c r="K285" s="8" t="s">
        <v>99</v>
      </c>
      <c r="L285" s="10" t="s">
        <v>437</v>
      </c>
      <c r="M285" s="8" t="s">
        <v>438</v>
      </c>
      <c r="N285" s="10" t="s">
        <v>717</v>
      </c>
      <c r="O285" s="11" t="s">
        <v>718</v>
      </c>
      <c r="P285" s="8" t="s">
        <v>719</v>
      </c>
      <c r="Q285" s="10"/>
      <c r="R285" s="10" t="s">
        <v>87</v>
      </c>
      <c r="S285" s="10"/>
    </row>
    <row r="286" customFormat="false" ht="35.05" hidden="false" customHeight="false" outlineLevel="0" collapsed="false">
      <c r="A286" s="8" t="s">
        <v>1187</v>
      </c>
      <c r="B286" s="8" t="s">
        <v>300</v>
      </c>
      <c r="C286" s="8" t="s">
        <v>74</v>
      </c>
      <c r="D286" s="8" t="s">
        <v>1158</v>
      </c>
      <c r="E286" s="9" t="n">
        <f aca="false">IF(C286="inhibition",-1,1)</f>
        <v>1</v>
      </c>
      <c r="F286" s="10" t="s">
        <v>76</v>
      </c>
      <c r="G286" s="10" t="s">
        <v>138</v>
      </c>
      <c r="H286" s="10" t="s">
        <v>359</v>
      </c>
      <c r="I286" s="8" t="s">
        <v>145</v>
      </c>
      <c r="J286" s="10" t="s">
        <v>144</v>
      </c>
      <c r="K286" s="8" t="s">
        <v>146</v>
      </c>
      <c r="L286" s="10" t="s">
        <v>144</v>
      </c>
      <c r="M286" s="8" t="s">
        <v>144</v>
      </c>
      <c r="N286" s="10" t="s">
        <v>360</v>
      </c>
      <c r="O286" s="11" t="s">
        <v>361</v>
      </c>
      <c r="P286" s="8"/>
      <c r="Q286" s="10"/>
      <c r="R286" s="10" t="s">
        <v>87</v>
      </c>
      <c r="S286" s="10"/>
    </row>
    <row r="287" customFormat="false" ht="46.25" hidden="false" customHeight="false" outlineLevel="0" collapsed="false">
      <c r="A287" s="8" t="s">
        <v>1188</v>
      </c>
      <c r="B287" s="8" t="s">
        <v>351</v>
      </c>
      <c r="C287" s="8" t="s">
        <v>74</v>
      </c>
      <c r="D287" s="8" t="s">
        <v>1189</v>
      </c>
      <c r="E287" s="9" t="n">
        <f aca="false">IF(C287="inhibition",-1,1)</f>
        <v>1</v>
      </c>
      <c r="F287" s="10" t="s">
        <v>76</v>
      </c>
      <c r="G287" s="10" t="s">
        <v>138</v>
      </c>
      <c r="H287" s="10" t="s">
        <v>937</v>
      </c>
      <c r="I287" s="8" t="s">
        <v>145</v>
      </c>
      <c r="J287" s="10" t="s">
        <v>1190</v>
      </c>
      <c r="K287" s="8" t="s">
        <v>81</v>
      </c>
      <c r="L287" s="10" t="s">
        <v>437</v>
      </c>
      <c r="M287" s="8" t="s">
        <v>438</v>
      </c>
      <c r="N287" s="10" t="s">
        <v>1191</v>
      </c>
      <c r="O287" s="11" t="s">
        <v>1192</v>
      </c>
      <c r="P287" s="8" t="s">
        <v>1193</v>
      </c>
      <c r="Q287" s="10"/>
      <c r="R287" s="10" t="s">
        <v>87</v>
      </c>
      <c r="S287" s="10"/>
    </row>
    <row r="288" customFormat="false" ht="35.05" hidden="false" customHeight="false" outlineLevel="0" collapsed="false">
      <c r="A288" s="8" t="s">
        <v>1194</v>
      </c>
      <c r="B288" s="8" t="s">
        <v>300</v>
      </c>
      <c r="C288" s="8" t="s">
        <v>74</v>
      </c>
      <c r="D288" s="8" t="s">
        <v>1189</v>
      </c>
      <c r="E288" s="9" t="n">
        <f aca="false">IF(C288="inhibition",-1,1)</f>
        <v>1</v>
      </c>
      <c r="F288" s="10" t="s">
        <v>76</v>
      </c>
      <c r="G288" s="10" t="s">
        <v>138</v>
      </c>
      <c r="H288" s="10" t="s">
        <v>359</v>
      </c>
      <c r="I288" s="8" t="s">
        <v>145</v>
      </c>
      <c r="J288" s="10" t="s">
        <v>144</v>
      </c>
      <c r="K288" s="8" t="s">
        <v>146</v>
      </c>
      <c r="L288" s="10" t="s">
        <v>144</v>
      </c>
      <c r="M288" s="8" t="s">
        <v>144</v>
      </c>
      <c r="N288" s="10" t="s">
        <v>360</v>
      </c>
      <c r="O288" s="11" t="s">
        <v>361</v>
      </c>
      <c r="P288" s="8"/>
      <c r="Q288" s="10"/>
      <c r="R288" s="10" t="s">
        <v>87</v>
      </c>
      <c r="S288" s="10"/>
    </row>
    <row r="289" customFormat="false" ht="46.25" hidden="false" customHeight="false" outlineLevel="0" collapsed="false">
      <c r="A289" s="8" t="s">
        <v>1195</v>
      </c>
      <c r="B289" s="8" t="s">
        <v>97</v>
      </c>
      <c r="C289" s="8" t="s">
        <v>74</v>
      </c>
      <c r="D289" s="8" t="s">
        <v>616</v>
      </c>
      <c r="E289" s="9" t="n">
        <f aca="false">IF(C289="inhibition",-1,1)</f>
        <v>1</v>
      </c>
      <c r="F289" s="10" t="s">
        <v>76</v>
      </c>
      <c r="G289" s="10" t="s">
        <v>195</v>
      </c>
      <c r="H289" s="10" t="s">
        <v>247</v>
      </c>
      <c r="I289" s="8" t="s">
        <v>127</v>
      </c>
      <c r="J289" s="10" t="s">
        <v>248</v>
      </c>
      <c r="K289" s="8" t="s">
        <v>99</v>
      </c>
      <c r="L289" s="10" t="s">
        <v>437</v>
      </c>
      <c r="M289" s="8" t="s">
        <v>438</v>
      </c>
      <c r="N289" s="10" t="s">
        <v>1196</v>
      </c>
      <c r="O289" s="11" t="s">
        <v>1197</v>
      </c>
      <c r="P289" s="8" t="s">
        <v>1198</v>
      </c>
      <c r="Q289" s="10"/>
      <c r="R289" s="10" t="s">
        <v>87</v>
      </c>
      <c r="S289" s="10"/>
    </row>
    <row r="290" customFormat="false" ht="46.25" hidden="false" customHeight="false" outlineLevel="0" collapsed="false">
      <c r="A290" s="8" t="s">
        <v>1199</v>
      </c>
      <c r="B290" s="8" t="s">
        <v>97</v>
      </c>
      <c r="C290" s="8" t="s">
        <v>74</v>
      </c>
      <c r="D290" s="8" t="s">
        <v>622</v>
      </c>
      <c r="E290" s="9" t="n">
        <f aca="false">IF(C290="inhibition",-1,1)</f>
        <v>1</v>
      </c>
      <c r="F290" s="10" t="s">
        <v>76</v>
      </c>
      <c r="G290" s="10" t="s">
        <v>195</v>
      </c>
      <c r="H290" s="10" t="s">
        <v>247</v>
      </c>
      <c r="I290" s="8" t="s">
        <v>127</v>
      </c>
      <c r="J290" s="10" t="s">
        <v>248</v>
      </c>
      <c r="K290" s="8" t="s">
        <v>99</v>
      </c>
      <c r="L290" s="10" t="s">
        <v>437</v>
      </c>
      <c r="M290" s="8" t="s">
        <v>438</v>
      </c>
      <c r="N290" s="10" t="s">
        <v>1196</v>
      </c>
      <c r="O290" s="11" t="s">
        <v>1197</v>
      </c>
      <c r="P290" s="8" t="s">
        <v>1198</v>
      </c>
      <c r="Q290" s="10"/>
      <c r="R290" s="10" t="s">
        <v>87</v>
      </c>
      <c r="S290" s="10"/>
    </row>
    <row r="291" customFormat="false" ht="46.25" hidden="false" customHeight="false" outlineLevel="0" collapsed="false">
      <c r="A291" s="8" t="s">
        <v>1200</v>
      </c>
      <c r="B291" s="8" t="s">
        <v>157</v>
      </c>
      <c r="C291" s="8" t="s">
        <v>74</v>
      </c>
      <c r="D291" s="8" t="s">
        <v>97</v>
      </c>
      <c r="E291" s="9" t="n">
        <f aca="false">IF(C291="inhibition",-1,1)</f>
        <v>1</v>
      </c>
      <c r="F291" s="10" t="s">
        <v>138</v>
      </c>
      <c r="G291" s="10" t="s">
        <v>76</v>
      </c>
      <c r="H291" s="10" t="s">
        <v>90</v>
      </c>
      <c r="I291" s="8" t="s">
        <v>79</v>
      </c>
      <c r="J291" s="10" t="s">
        <v>98</v>
      </c>
      <c r="K291" s="8" t="s">
        <v>99</v>
      </c>
      <c r="L291" s="10" t="s">
        <v>100</v>
      </c>
      <c r="M291" s="8" t="s">
        <v>82</v>
      </c>
      <c r="N291" s="10" t="s">
        <v>101</v>
      </c>
      <c r="O291" s="11" t="s">
        <v>102</v>
      </c>
      <c r="P291" s="8" t="s">
        <v>103</v>
      </c>
      <c r="Q291" s="10"/>
      <c r="R291" s="10" t="s">
        <v>87</v>
      </c>
      <c r="S291" s="10"/>
    </row>
    <row r="292" customFormat="false" ht="57.45" hidden="false" customHeight="false" outlineLevel="0" collapsed="false">
      <c r="A292" s="8" t="s">
        <v>1201</v>
      </c>
      <c r="B292" s="8" t="s">
        <v>193</v>
      </c>
      <c r="C292" s="8" t="s">
        <v>74</v>
      </c>
      <c r="D292" s="8" t="s">
        <v>97</v>
      </c>
      <c r="E292" s="9" t="n">
        <f aca="false">IF(C292="inhibition",-1,1)</f>
        <v>1</v>
      </c>
      <c r="F292" s="10" t="s">
        <v>76</v>
      </c>
      <c r="G292" s="10" t="s">
        <v>76</v>
      </c>
      <c r="H292" s="10" t="s">
        <v>1202</v>
      </c>
      <c r="I292" s="8" t="s">
        <v>127</v>
      </c>
      <c r="J292" s="10" t="s">
        <v>1203</v>
      </c>
      <c r="K292" s="8" t="s">
        <v>146</v>
      </c>
      <c r="L292" s="10" t="s">
        <v>92</v>
      </c>
      <c r="M292" s="8" t="s">
        <v>82</v>
      </c>
      <c r="N292" s="10" t="s">
        <v>1204</v>
      </c>
      <c r="O292" s="11" t="s">
        <v>1205</v>
      </c>
      <c r="P292" s="8" t="s">
        <v>1206</v>
      </c>
      <c r="Q292" s="10"/>
      <c r="R292" s="10" t="s">
        <v>87</v>
      </c>
      <c r="S292" s="10"/>
    </row>
    <row r="293" customFormat="false" ht="46.25" hidden="false" customHeight="false" outlineLevel="0" collapsed="false">
      <c r="A293" s="8" t="s">
        <v>1207</v>
      </c>
      <c r="B293" s="8" t="s">
        <v>73</v>
      </c>
      <c r="C293" s="8" t="s">
        <v>74</v>
      </c>
      <c r="D293" s="8" t="s">
        <v>97</v>
      </c>
      <c r="E293" s="9" t="n">
        <f aca="false">IF(C293="inhibition",-1,1)</f>
        <v>1</v>
      </c>
      <c r="F293" s="10" t="s">
        <v>76</v>
      </c>
      <c r="G293" s="10" t="s">
        <v>76</v>
      </c>
      <c r="H293" s="10" t="s">
        <v>90</v>
      </c>
      <c r="I293" s="8" t="s">
        <v>79</v>
      </c>
      <c r="J293" s="10" t="s">
        <v>108</v>
      </c>
      <c r="K293" s="8" t="s">
        <v>81</v>
      </c>
      <c r="L293" s="10" t="s">
        <v>92</v>
      </c>
      <c r="M293" s="8" t="s">
        <v>82</v>
      </c>
      <c r="N293" s="10" t="s">
        <v>1208</v>
      </c>
      <c r="O293" s="11" t="s">
        <v>1209</v>
      </c>
      <c r="P293" s="8" t="s">
        <v>1210</v>
      </c>
      <c r="Q293" s="10"/>
      <c r="R293" s="10" t="s">
        <v>87</v>
      </c>
      <c r="S293" s="10"/>
    </row>
    <row r="294" customFormat="false" ht="35.05" hidden="false" customHeight="false" outlineLevel="0" collapsed="false">
      <c r="A294" s="8" t="s">
        <v>1211</v>
      </c>
      <c r="B294" s="8" t="s">
        <v>808</v>
      </c>
      <c r="C294" s="8" t="s">
        <v>74</v>
      </c>
      <c r="D294" s="8" t="s">
        <v>97</v>
      </c>
      <c r="E294" s="9" t="n">
        <f aca="false">IF(C294="inhibition",-1,1)</f>
        <v>1</v>
      </c>
      <c r="F294" s="10" t="s">
        <v>389</v>
      </c>
      <c r="G294" s="10" t="s">
        <v>76</v>
      </c>
      <c r="H294" s="10" t="s">
        <v>173</v>
      </c>
      <c r="I294" s="8" t="s">
        <v>127</v>
      </c>
      <c r="J294" s="10" t="s">
        <v>81</v>
      </c>
      <c r="K294" s="8" t="s">
        <v>81</v>
      </c>
      <c r="L294" s="10" t="s">
        <v>92</v>
      </c>
      <c r="M294" s="8" t="s">
        <v>82</v>
      </c>
      <c r="N294" s="10" t="s">
        <v>1212</v>
      </c>
      <c r="O294" s="11" t="s">
        <v>1213</v>
      </c>
      <c r="P294" s="8" t="s">
        <v>1214</v>
      </c>
      <c r="Q294" s="10"/>
      <c r="R294" s="10" t="s">
        <v>87</v>
      </c>
      <c r="S294" s="10"/>
    </row>
    <row r="295" customFormat="false" ht="46.25" hidden="false" customHeight="false" outlineLevel="0" collapsed="false">
      <c r="A295" s="8" t="s">
        <v>1215</v>
      </c>
      <c r="B295" s="8" t="s">
        <v>113</v>
      </c>
      <c r="C295" s="8" t="s">
        <v>134</v>
      </c>
      <c r="D295" s="8" t="s">
        <v>97</v>
      </c>
      <c r="E295" s="9" t="n">
        <f aca="false">IF(C295="inhibition",-1,1)</f>
        <v>-1</v>
      </c>
      <c r="F295" s="10" t="s">
        <v>114</v>
      </c>
      <c r="G295" s="10" t="s">
        <v>76</v>
      </c>
      <c r="H295" s="10" t="s">
        <v>173</v>
      </c>
      <c r="I295" s="8" t="s">
        <v>127</v>
      </c>
      <c r="J295" s="10" t="s">
        <v>414</v>
      </c>
      <c r="K295" s="8" t="s">
        <v>146</v>
      </c>
      <c r="L295" s="10" t="s">
        <v>92</v>
      </c>
      <c r="M295" s="8" t="s">
        <v>82</v>
      </c>
      <c r="N295" s="10" t="s">
        <v>415</v>
      </c>
      <c r="O295" s="11" t="s">
        <v>416</v>
      </c>
      <c r="P295" s="8" t="s">
        <v>417</v>
      </c>
      <c r="Q295" s="10"/>
      <c r="R295" s="10" t="s">
        <v>87</v>
      </c>
      <c r="S295" s="10"/>
    </row>
    <row r="296" customFormat="false" ht="46.25" hidden="false" customHeight="false" outlineLevel="0" collapsed="false">
      <c r="A296" s="8" t="s">
        <v>1216</v>
      </c>
      <c r="B296" s="8" t="s">
        <v>120</v>
      </c>
      <c r="C296" s="8" t="s">
        <v>134</v>
      </c>
      <c r="D296" s="8" t="s">
        <v>97</v>
      </c>
      <c r="E296" s="9" t="n">
        <f aca="false">IF(C296="inhibition",-1,1)</f>
        <v>-1</v>
      </c>
      <c r="F296" s="10" t="s">
        <v>76</v>
      </c>
      <c r="G296" s="10" t="s">
        <v>76</v>
      </c>
      <c r="H296" s="10" t="s">
        <v>90</v>
      </c>
      <c r="I296" s="8" t="s">
        <v>79</v>
      </c>
      <c r="J296" s="10" t="s">
        <v>81</v>
      </c>
      <c r="K296" s="8" t="s">
        <v>81</v>
      </c>
      <c r="L296" s="10" t="s">
        <v>92</v>
      </c>
      <c r="M296" s="8" t="s">
        <v>82</v>
      </c>
      <c r="N296" s="10" t="s">
        <v>1217</v>
      </c>
      <c r="O296" s="8"/>
      <c r="P296" s="8"/>
      <c r="Q296" s="10"/>
      <c r="R296" s="10" t="s">
        <v>198</v>
      </c>
      <c r="S296" s="10"/>
    </row>
    <row r="297" customFormat="false" ht="46.25" hidden="false" customHeight="false" outlineLevel="0" collapsed="false">
      <c r="A297" s="8" t="s">
        <v>1218</v>
      </c>
      <c r="B297" s="8" t="s">
        <v>452</v>
      </c>
      <c r="C297" s="8" t="s">
        <v>134</v>
      </c>
      <c r="D297" s="8" t="s">
        <v>97</v>
      </c>
      <c r="E297" s="9" t="n">
        <f aca="false">IF(C297="inhibition",-1,1)</f>
        <v>-1</v>
      </c>
      <c r="F297" s="10" t="s">
        <v>76</v>
      </c>
      <c r="G297" s="10" t="s">
        <v>76</v>
      </c>
      <c r="H297" s="10" t="s">
        <v>144</v>
      </c>
      <c r="I297" s="8" t="s">
        <v>145</v>
      </c>
      <c r="J297" s="10" t="s">
        <v>144</v>
      </c>
      <c r="K297" s="8" t="s">
        <v>146</v>
      </c>
      <c r="L297" s="10" t="s">
        <v>144</v>
      </c>
      <c r="M297" s="8" t="s">
        <v>144</v>
      </c>
      <c r="N297" s="10" t="s">
        <v>1219</v>
      </c>
      <c r="O297" s="11" t="s">
        <v>1220</v>
      </c>
      <c r="P297" s="8" t="s">
        <v>1221</v>
      </c>
      <c r="Q297" s="10"/>
      <c r="R297" s="10" t="s">
        <v>87</v>
      </c>
      <c r="S297" s="10"/>
    </row>
    <row r="298" customFormat="false" ht="46.25" hidden="false" customHeight="false" outlineLevel="0" collapsed="false">
      <c r="A298" s="8" t="s">
        <v>1222</v>
      </c>
      <c r="B298" s="8" t="s">
        <v>125</v>
      </c>
      <c r="C298" s="8" t="s">
        <v>134</v>
      </c>
      <c r="D298" s="8" t="s">
        <v>97</v>
      </c>
      <c r="E298" s="9" t="n">
        <f aca="false">IF(C298="inhibition",-1,1)</f>
        <v>-1</v>
      </c>
      <c r="F298" s="10" t="s">
        <v>114</v>
      </c>
      <c r="G298" s="10" t="s">
        <v>76</v>
      </c>
      <c r="H298" s="10" t="s">
        <v>173</v>
      </c>
      <c r="I298" s="8" t="s">
        <v>127</v>
      </c>
      <c r="J298" s="10" t="s">
        <v>108</v>
      </c>
      <c r="K298" s="8" t="s">
        <v>81</v>
      </c>
      <c r="L298" s="10" t="s">
        <v>100</v>
      </c>
      <c r="M298" s="8" t="s">
        <v>82</v>
      </c>
      <c r="N298" s="10" t="s">
        <v>1223</v>
      </c>
      <c r="O298" s="11" t="s">
        <v>1224</v>
      </c>
      <c r="P298" s="8" t="s">
        <v>1225</v>
      </c>
      <c r="Q298" s="10"/>
      <c r="R298" s="10" t="s">
        <v>87</v>
      </c>
      <c r="S298" s="10"/>
    </row>
    <row r="299" customFormat="false" ht="57.45" hidden="false" customHeight="false" outlineLevel="0" collapsed="false">
      <c r="A299" s="8" t="s">
        <v>1226</v>
      </c>
      <c r="B299" s="8" t="s">
        <v>315</v>
      </c>
      <c r="C299" s="8" t="s">
        <v>74</v>
      </c>
      <c r="D299" s="8" t="s">
        <v>734</v>
      </c>
      <c r="E299" s="9" t="n">
        <f aca="false">IF(C299="inhibition",-1,1)</f>
        <v>1</v>
      </c>
      <c r="F299" s="10" t="s">
        <v>166</v>
      </c>
      <c r="G299" s="10" t="s">
        <v>114</v>
      </c>
      <c r="H299" s="10" t="s">
        <v>196</v>
      </c>
      <c r="I299" s="8" t="s">
        <v>145</v>
      </c>
      <c r="J299" s="10" t="s">
        <v>144</v>
      </c>
      <c r="K299" s="8" t="s">
        <v>146</v>
      </c>
      <c r="L299" s="10" t="s">
        <v>144</v>
      </c>
      <c r="M299" s="8" t="s">
        <v>144</v>
      </c>
      <c r="N299" s="10" t="s">
        <v>1227</v>
      </c>
      <c r="O299" s="11" t="s">
        <v>1228</v>
      </c>
      <c r="P299" s="8" t="s">
        <v>1229</v>
      </c>
      <c r="Q299" s="10"/>
      <c r="R299" s="10" t="s">
        <v>87</v>
      </c>
      <c r="S299" s="10"/>
    </row>
    <row r="300" customFormat="false" ht="46.25" hidden="false" customHeight="false" outlineLevel="0" collapsed="false">
      <c r="A300" s="8" t="s">
        <v>1230</v>
      </c>
      <c r="B300" s="8" t="s">
        <v>179</v>
      </c>
      <c r="C300" s="8" t="s">
        <v>74</v>
      </c>
      <c r="D300" s="8" t="s">
        <v>734</v>
      </c>
      <c r="E300" s="9" t="n">
        <f aca="false">IF(C300="inhibition",-1,1)</f>
        <v>1</v>
      </c>
      <c r="F300" s="10" t="s">
        <v>180</v>
      </c>
      <c r="G300" s="10" t="s">
        <v>114</v>
      </c>
      <c r="H300" s="10" t="s">
        <v>1231</v>
      </c>
      <c r="I300" s="8" t="s">
        <v>145</v>
      </c>
      <c r="J300" s="10" t="s">
        <v>1232</v>
      </c>
      <c r="K300" s="8" t="s">
        <v>146</v>
      </c>
      <c r="L300" s="10" t="s">
        <v>92</v>
      </c>
      <c r="M300" s="8" t="s">
        <v>82</v>
      </c>
      <c r="N300" s="10" t="s">
        <v>1233</v>
      </c>
      <c r="O300" s="11" t="s">
        <v>1234</v>
      </c>
      <c r="P300" s="8" t="s">
        <v>1235</v>
      </c>
      <c r="Q300" s="10"/>
      <c r="R300" s="10" t="s">
        <v>87</v>
      </c>
      <c r="S300" s="10"/>
    </row>
    <row r="301" customFormat="false" ht="57.45" hidden="false" customHeight="false" outlineLevel="0" collapsed="false">
      <c r="A301" s="8" t="s">
        <v>1236</v>
      </c>
      <c r="B301" s="8" t="s">
        <v>227</v>
      </c>
      <c r="C301" s="8" t="s">
        <v>74</v>
      </c>
      <c r="D301" s="8" t="s">
        <v>1237</v>
      </c>
      <c r="E301" s="9" t="n">
        <f aca="false">IF(C301="inhibition",-1,1)</f>
        <v>1</v>
      </c>
      <c r="F301" s="10" t="s">
        <v>76</v>
      </c>
      <c r="G301" s="10" t="s">
        <v>195</v>
      </c>
      <c r="H301" s="10" t="s">
        <v>716</v>
      </c>
      <c r="I301" s="8" t="s">
        <v>79</v>
      </c>
      <c r="J301" s="10" t="s">
        <v>248</v>
      </c>
      <c r="K301" s="8" t="s">
        <v>99</v>
      </c>
      <c r="L301" s="10" t="s">
        <v>437</v>
      </c>
      <c r="M301" s="8" t="s">
        <v>438</v>
      </c>
      <c r="N301" s="10" t="s">
        <v>717</v>
      </c>
      <c r="O301" s="11" t="s">
        <v>718</v>
      </c>
      <c r="P301" s="8" t="s">
        <v>719</v>
      </c>
      <c r="Q301" s="10"/>
      <c r="R301" s="10" t="s">
        <v>87</v>
      </c>
      <c r="S301" s="10"/>
    </row>
    <row r="302" customFormat="false" ht="57.45" hidden="false" customHeight="false" outlineLevel="0" collapsed="false">
      <c r="A302" s="8" t="s">
        <v>1238</v>
      </c>
      <c r="B302" s="8" t="s">
        <v>803</v>
      </c>
      <c r="C302" s="8" t="s">
        <v>74</v>
      </c>
      <c r="D302" s="8" t="s">
        <v>1239</v>
      </c>
      <c r="E302" s="9" t="n">
        <f aca="false">IF(C302="inhibition",-1,1)</f>
        <v>1</v>
      </c>
      <c r="F302" s="10" t="s">
        <v>389</v>
      </c>
      <c r="G302" s="10" t="s">
        <v>279</v>
      </c>
      <c r="H302" s="10" t="s">
        <v>307</v>
      </c>
      <c r="I302" s="8" t="s">
        <v>79</v>
      </c>
      <c r="J302" s="10" t="s">
        <v>81</v>
      </c>
      <c r="K302" s="8" t="s">
        <v>81</v>
      </c>
      <c r="L302" s="10" t="s">
        <v>92</v>
      </c>
      <c r="M302" s="8" t="s">
        <v>82</v>
      </c>
      <c r="N302" s="10" t="s">
        <v>1240</v>
      </c>
      <c r="O302" s="11" t="s">
        <v>1241</v>
      </c>
      <c r="P302" s="8" t="s">
        <v>1242</v>
      </c>
      <c r="Q302" s="10"/>
      <c r="R302" s="10" t="s">
        <v>87</v>
      </c>
      <c r="S302" s="10"/>
    </row>
    <row r="303" customFormat="false" ht="57.45" hidden="false" customHeight="false" outlineLevel="0" collapsed="false">
      <c r="A303" s="8" t="s">
        <v>1243</v>
      </c>
      <c r="B303" s="8" t="s">
        <v>808</v>
      </c>
      <c r="C303" s="8" t="s">
        <v>74</v>
      </c>
      <c r="D303" s="8" t="s">
        <v>1239</v>
      </c>
      <c r="E303" s="9" t="n">
        <f aca="false">IF(C303="inhibition",-1,1)</f>
        <v>1</v>
      </c>
      <c r="F303" s="10" t="s">
        <v>389</v>
      </c>
      <c r="G303" s="10" t="s">
        <v>279</v>
      </c>
      <c r="H303" s="10" t="s">
        <v>307</v>
      </c>
      <c r="I303" s="8" t="s">
        <v>79</v>
      </c>
      <c r="J303" s="10" t="s">
        <v>81</v>
      </c>
      <c r="K303" s="8" t="s">
        <v>81</v>
      </c>
      <c r="L303" s="10" t="s">
        <v>92</v>
      </c>
      <c r="M303" s="8" t="s">
        <v>82</v>
      </c>
      <c r="N303" s="10" t="s">
        <v>1240</v>
      </c>
      <c r="O303" s="11" t="s">
        <v>1241</v>
      </c>
      <c r="P303" s="8" t="s">
        <v>1242</v>
      </c>
      <c r="Q303" s="10"/>
      <c r="R303" s="10" t="s">
        <v>87</v>
      </c>
      <c r="S303" s="10"/>
    </row>
    <row r="304" customFormat="false" ht="46.25" hidden="false" customHeight="false" outlineLevel="0" collapsed="false">
      <c r="A304" s="8" t="s">
        <v>1244</v>
      </c>
      <c r="B304" s="8" t="s">
        <v>536</v>
      </c>
      <c r="C304" s="8" t="s">
        <v>74</v>
      </c>
      <c r="D304" s="8" t="s">
        <v>1239</v>
      </c>
      <c r="E304" s="9" t="n">
        <f aca="false">IF(C304="inhibition",-1,1)</f>
        <v>1</v>
      </c>
      <c r="F304" s="10" t="s">
        <v>306</v>
      </c>
      <c r="G304" s="10" t="s">
        <v>279</v>
      </c>
      <c r="H304" s="10" t="s">
        <v>196</v>
      </c>
      <c r="I304" s="8" t="s">
        <v>145</v>
      </c>
      <c r="J304" s="10" t="s">
        <v>144</v>
      </c>
      <c r="K304" s="8" t="s">
        <v>146</v>
      </c>
      <c r="L304" s="10" t="s">
        <v>144</v>
      </c>
      <c r="M304" s="8" t="s">
        <v>144</v>
      </c>
      <c r="N304" s="10" t="s">
        <v>1245</v>
      </c>
      <c r="O304" s="11" t="s">
        <v>1246</v>
      </c>
      <c r="P304" s="8" t="s">
        <v>1247</v>
      </c>
      <c r="Q304" s="10"/>
      <c r="R304" s="10" t="s">
        <v>87</v>
      </c>
      <c r="S304" s="10"/>
    </row>
    <row r="305" customFormat="false" ht="57.45" hidden="false" customHeight="false" outlineLevel="0" collapsed="false">
      <c r="A305" s="8" t="s">
        <v>1248</v>
      </c>
      <c r="B305" s="8" t="s">
        <v>351</v>
      </c>
      <c r="C305" s="8" t="s">
        <v>74</v>
      </c>
      <c r="D305" s="8" t="s">
        <v>1249</v>
      </c>
      <c r="E305" s="9" t="n">
        <f aca="false">IF(C305="inhibition",-1,1)</f>
        <v>1</v>
      </c>
      <c r="F305" s="10" t="s">
        <v>76</v>
      </c>
      <c r="G305" s="10" t="s">
        <v>77</v>
      </c>
      <c r="H305" s="10" t="s">
        <v>144</v>
      </c>
      <c r="I305" s="8" t="s">
        <v>145</v>
      </c>
      <c r="J305" s="10" t="s">
        <v>144</v>
      </c>
      <c r="K305" s="8" t="s">
        <v>146</v>
      </c>
      <c r="L305" s="10" t="s">
        <v>144</v>
      </c>
      <c r="M305" s="8" t="s">
        <v>144</v>
      </c>
      <c r="N305" s="10" t="s">
        <v>1250</v>
      </c>
      <c r="O305" s="11" t="s">
        <v>1251</v>
      </c>
      <c r="P305" s="8"/>
      <c r="Q305" s="10" t="s">
        <v>1252</v>
      </c>
      <c r="R305" s="10" t="s">
        <v>87</v>
      </c>
      <c r="S305" s="10"/>
    </row>
    <row r="306" customFormat="false" ht="57.45" hidden="false" customHeight="false" outlineLevel="0" collapsed="false">
      <c r="A306" s="8" t="s">
        <v>1253</v>
      </c>
      <c r="B306" s="8" t="s">
        <v>89</v>
      </c>
      <c r="C306" s="8" t="s">
        <v>74</v>
      </c>
      <c r="D306" s="8" t="s">
        <v>1249</v>
      </c>
      <c r="E306" s="9" t="n">
        <f aca="false">IF(C306="inhibition",-1,1)</f>
        <v>1</v>
      </c>
      <c r="F306" s="10" t="s">
        <v>76</v>
      </c>
      <c r="G306" s="10" t="s">
        <v>77</v>
      </c>
      <c r="H306" s="10" t="s">
        <v>208</v>
      </c>
      <c r="I306" s="8" t="s">
        <v>127</v>
      </c>
      <c r="J306" s="10" t="s">
        <v>378</v>
      </c>
      <c r="K306" s="8" t="s">
        <v>99</v>
      </c>
      <c r="L306" s="10" t="s">
        <v>92</v>
      </c>
      <c r="M306" s="8" t="s">
        <v>82</v>
      </c>
      <c r="N306" s="10" t="s">
        <v>1254</v>
      </c>
      <c r="O306" s="11" t="s">
        <v>1255</v>
      </c>
      <c r="P306" s="8" t="s">
        <v>1256</v>
      </c>
      <c r="Q306" s="10"/>
      <c r="R306" s="10" t="s">
        <v>87</v>
      </c>
      <c r="S306" s="10"/>
    </row>
    <row r="307" customFormat="false" ht="35.05" hidden="false" customHeight="false" outlineLevel="0" collapsed="false">
      <c r="A307" s="8" t="s">
        <v>1257</v>
      </c>
      <c r="B307" s="8" t="s">
        <v>97</v>
      </c>
      <c r="C307" s="8" t="s">
        <v>74</v>
      </c>
      <c r="D307" s="8" t="s">
        <v>1249</v>
      </c>
      <c r="E307" s="9" t="n">
        <f aca="false">IF(C307="inhibition",-1,1)</f>
        <v>1</v>
      </c>
      <c r="F307" s="10" t="s">
        <v>76</v>
      </c>
      <c r="G307" s="10" t="s">
        <v>77</v>
      </c>
      <c r="H307" s="10" t="s">
        <v>173</v>
      </c>
      <c r="I307" s="8" t="s">
        <v>127</v>
      </c>
      <c r="J307" s="10" t="s">
        <v>1258</v>
      </c>
      <c r="K307" s="8" t="s">
        <v>146</v>
      </c>
      <c r="L307" s="10" t="s">
        <v>92</v>
      </c>
      <c r="M307" s="8" t="s">
        <v>82</v>
      </c>
      <c r="N307" s="10" t="s">
        <v>1259</v>
      </c>
      <c r="O307" s="8"/>
      <c r="P307" s="8"/>
      <c r="Q307" s="10"/>
      <c r="R307" s="10" t="s">
        <v>198</v>
      </c>
      <c r="S307" s="10"/>
    </row>
    <row r="308" customFormat="false" ht="35.05" hidden="false" customHeight="false" outlineLevel="0" collapsed="false">
      <c r="A308" s="8" t="s">
        <v>1260</v>
      </c>
      <c r="B308" s="8" t="s">
        <v>201</v>
      </c>
      <c r="C308" s="8" t="s">
        <v>134</v>
      </c>
      <c r="D308" s="8" t="s">
        <v>1249</v>
      </c>
      <c r="E308" s="9" t="n">
        <f aca="false">IF(C308="inhibition",-1,1)</f>
        <v>-1</v>
      </c>
      <c r="F308" s="10" t="s">
        <v>76</v>
      </c>
      <c r="G308" s="10" t="s">
        <v>77</v>
      </c>
      <c r="H308" s="10" t="s">
        <v>144</v>
      </c>
      <c r="I308" s="8" t="s">
        <v>145</v>
      </c>
      <c r="J308" s="10" t="s">
        <v>144</v>
      </c>
      <c r="K308" s="8" t="s">
        <v>146</v>
      </c>
      <c r="L308" s="10" t="s">
        <v>144</v>
      </c>
      <c r="M308" s="8" t="s">
        <v>144</v>
      </c>
      <c r="N308" s="10" t="s">
        <v>1261</v>
      </c>
      <c r="O308" s="11" t="s">
        <v>1262</v>
      </c>
      <c r="P308" s="8" t="s">
        <v>1263</v>
      </c>
      <c r="Q308" s="10" t="s">
        <v>1264</v>
      </c>
      <c r="R308" s="10" t="s">
        <v>87</v>
      </c>
      <c r="S308" s="10"/>
    </row>
    <row r="309" customFormat="false" ht="35.05" hidden="false" customHeight="false" outlineLevel="0" collapsed="false">
      <c r="A309" s="8" t="s">
        <v>1265</v>
      </c>
      <c r="B309" s="8" t="s">
        <v>201</v>
      </c>
      <c r="C309" s="8" t="s">
        <v>74</v>
      </c>
      <c r="D309" s="8" t="s">
        <v>1266</v>
      </c>
      <c r="E309" s="9" t="n">
        <f aca="false">IF(C309="inhibition",-1,1)</f>
        <v>1</v>
      </c>
      <c r="F309" s="10" t="s">
        <v>76</v>
      </c>
      <c r="G309" s="10" t="s">
        <v>107</v>
      </c>
      <c r="H309" s="10" t="s">
        <v>90</v>
      </c>
      <c r="I309" s="8" t="s">
        <v>79</v>
      </c>
      <c r="J309" s="10" t="s">
        <v>98</v>
      </c>
      <c r="K309" s="8" t="s">
        <v>99</v>
      </c>
      <c r="L309" s="10" t="s">
        <v>92</v>
      </c>
      <c r="M309" s="8" t="s">
        <v>82</v>
      </c>
      <c r="N309" s="10" t="s">
        <v>740</v>
      </c>
      <c r="O309" s="11" t="s">
        <v>741</v>
      </c>
      <c r="P309" s="8"/>
      <c r="Q309" s="10"/>
      <c r="R309" s="10" t="s">
        <v>87</v>
      </c>
      <c r="S309" s="10"/>
    </row>
    <row r="310" customFormat="false" ht="46.25" hidden="false" customHeight="false" outlineLevel="0" collapsed="false">
      <c r="A310" s="8" t="s">
        <v>1267</v>
      </c>
      <c r="B310" s="8" t="s">
        <v>120</v>
      </c>
      <c r="C310" s="8" t="s">
        <v>74</v>
      </c>
      <c r="D310" s="8" t="s">
        <v>1266</v>
      </c>
      <c r="E310" s="9" t="n">
        <f aca="false">IF(C310="inhibition",-1,1)</f>
        <v>1</v>
      </c>
      <c r="F310" s="10" t="s">
        <v>76</v>
      </c>
      <c r="G310" s="10" t="s">
        <v>107</v>
      </c>
      <c r="H310" s="10" t="s">
        <v>90</v>
      </c>
      <c r="I310" s="8" t="s">
        <v>79</v>
      </c>
      <c r="J310" s="10" t="s">
        <v>91</v>
      </c>
      <c r="K310" s="8" t="s">
        <v>81</v>
      </c>
      <c r="L310" s="10" t="s">
        <v>92</v>
      </c>
      <c r="M310" s="8" t="s">
        <v>82</v>
      </c>
      <c r="N310" s="10" t="s">
        <v>743</v>
      </c>
      <c r="O310" s="8"/>
      <c r="P310" s="8"/>
      <c r="Q310" s="10"/>
      <c r="R310" s="10" t="s">
        <v>198</v>
      </c>
      <c r="S310" s="10"/>
    </row>
    <row r="311" customFormat="false" ht="57.45" hidden="false" customHeight="false" outlineLevel="0" collapsed="false">
      <c r="A311" s="8" t="s">
        <v>1268</v>
      </c>
      <c r="B311" s="8" t="s">
        <v>452</v>
      </c>
      <c r="C311" s="8" t="s">
        <v>74</v>
      </c>
      <c r="D311" s="8" t="s">
        <v>1266</v>
      </c>
      <c r="E311" s="9" t="n">
        <f aca="false">IF(C311="inhibition",-1,1)</f>
        <v>1</v>
      </c>
      <c r="F311" s="10" t="s">
        <v>76</v>
      </c>
      <c r="G311" s="10" t="s">
        <v>107</v>
      </c>
      <c r="H311" s="10" t="s">
        <v>208</v>
      </c>
      <c r="I311" s="8" t="s">
        <v>127</v>
      </c>
      <c r="J311" s="10" t="s">
        <v>664</v>
      </c>
      <c r="K311" s="8" t="s">
        <v>99</v>
      </c>
      <c r="L311" s="10" t="s">
        <v>92</v>
      </c>
      <c r="M311" s="8" t="s">
        <v>82</v>
      </c>
      <c r="N311" s="10" t="s">
        <v>1269</v>
      </c>
      <c r="O311" s="11" t="s">
        <v>1270</v>
      </c>
      <c r="P311" s="8" t="s">
        <v>1271</v>
      </c>
      <c r="Q311" s="10"/>
      <c r="R311" s="10" t="s">
        <v>87</v>
      </c>
      <c r="S311" s="10"/>
    </row>
    <row r="312" customFormat="false" ht="46.25" hidden="false" customHeight="false" outlineLevel="0" collapsed="false">
      <c r="A312" s="8" t="s">
        <v>1272</v>
      </c>
      <c r="B312" s="8" t="s">
        <v>200</v>
      </c>
      <c r="C312" s="8" t="s">
        <v>74</v>
      </c>
      <c r="D312" s="8" t="s">
        <v>227</v>
      </c>
      <c r="E312" s="9" t="n">
        <f aca="false">IF(C312="inhibition",-1,1)</f>
        <v>1</v>
      </c>
      <c r="F312" s="10" t="s">
        <v>114</v>
      </c>
      <c r="G312" s="10" t="s">
        <v>76</v>
      </c>
      <c r="H312" s="10" t="s">
        <v>90</v>
      </c>
      <c r="I312" s="8" t="s">
        <v>79</v>
      </c>
      <c r="J312" s="10" t="s">
        <v>98</v>
      </c>
      <c r="K312" s="8" t="s">
        <v>99</v>
      </c>
      <c r="L312" s="10" t="s">
        <v>92</v>
      </c>
      <c r="M312" s="8" t="s">
        <v>82</v>
      </c>
      <c r="N312" s="10" t="s">
        <v>506</v>
      </c>
      <c r="O312" s="11" t="s">
        <v>507</v>
      </c>
      <c r="P312" s="8" t="s">
        <v>508</v>
      </c>
      <c r="Q312" s="10"/>
      <c r="R312" s="10" t="s">
        <v>87</v>
      </c>
      <c r="S312" s="10" t="s">
        <v>509</v>
      </c>
    </row>
    <row r="313" customFormat="false" ht="46.25" hidden="false" customHeight="false" outlineLevel="0" collapsed="false">
      <c r="A313" s="8" t="s">
        <v>1273</v>
      </c>
      <c r="B313" s="8" t="s">
        <v>465</v>
      </c>
      <c r="C313" s="8" t="s">
        <v>74</v>
      </c>
      <c r="D313" s="8" t="s">
        <v>227</v>
      </c>
      <c r="E313" s="9" t="n">
        <f aca="false">IF(C313="inhibition",-1,1)</f>
        <v>1</v>
      </c>
      <c r="F313" s="10" t="s">
        <v>114</v>
      </c>
      <c r="G313" s="10" t="s">
        <v>76</v>
      </c>
      <c r="H313" s="10" t="s">
        <v>90</v>
      </c>
      <c r="I313" s="8" t="s">
        <v>79</v>
      </c>
      <c r="J313" s="10" t="s">
        <v>98</v>
      </c>
      <c r="K313" s="8" t="s">
        <v>99</v>
      </c>
      <c r="L313" s="10" t="s">
        <v>92</v>
      </c>
      <c r="M313" s="8" t="s">
        <v>82</v>
      </c>
      <c r="N313" s="10" t="s">
        <v>506</v>
      </c>
      <c r="O313" s="11" t="s">
        <v>507</v>
      </c>
      <c r="P313" s="8" t="s">
        <v>508</v>
      </c>
      <c r="Q313" s="10"/>
      <c r="R313" s="10" t="s">
        <v>87</v>
      </c>
      <c r="S313" s="10" t="s">
        <v>509</v>
      </c>
    </row>
    <row r="314" customFormat="false" ht="46.25" hidden="false" customHeight="false" outlineLevel="0" collapsed="false">
      <c r="A314" s="8" t="s">
        <v>1274</v>
      </c>
      <c r="B314" s="8" t="s">
        <v>125</v>
      </c>
      <c r="C314" s="8" t="s">
        <v>74</v>
      </c>
      <c r="D314" s="8" t="s">
        <v>227</v>
      </c>
      <c r="E314" s="9" t="n">
        <f aca="false">IF(C314="inhibition",-1,1)</f>
        <v>1</v>
      </c>
      <c r="F314" s="10" t="s">
        <v>114</v>
      </c>
      <c r="G314" s="10" t="s">
        <v>76</v>
      </c>
      <c r="H314" s="10" t="s">
        <v>90</v>
      </c>
      <c r="I314" s="8" t="s">
        <v>79</v>
      </c>
      <c r="J314" s="10" t="s">
        <v>98</v>
      </c>
      <c r="K314" s="8" t="s">
        <v>99</v>
      </c>
      <c r="L314" s="10" t="s">
        <v>92</v>
      </c>
      <c r="M314" s="8" t="s">
        <v>82</v>
      </c>
      <c r="N314" s="10" t="s">
        <v>506</v>
      </c>
      <c r="O314" s="11" t="s">
        <v>507</v>
      </c>
      <c r="P314" s="8" t="s">
        <v>508</v>
      </c>
      <c r="Q314" s="10"/>
      <c r="R314" s="10" t="s">
        <v>87</v>
      </c>
      <c r="S314" s="10" t="s">
        <v>509</v>
      </c>
    </row>
    <row r="315" customFormat="false" ht="57.45" hidden="false" customHeight="false" outlineLevel="0" collapsed="false">
      <c r="A315" s="8" t="s">
        <v>1275</v>
      </c>
      <c r="B315" s="8" t="s">
        <v>472</v>
      </c>
      <c r="C315" s="8" t="s">
        <v>134</v>
      </c>
      <c r="D315" s="8" t="s">
        <v>227</v>
      </c>
      <c r="E315" s="9" t="n">
        <f aca="false">IF(C315="inhibition",-1,1)</f>
        <v>-1</v>
      </c>
      <c r="F315" s="10" t="s">
        <v>138</v>
      </c>
      <c r="G315" s="10" t="s">
        <v>76</v>
      </c>
      <c r="H315" s="10" t="s">
        <v>144</v>
      </c>
      <c r="I315" s="8" t="s">
        <v>145</v>
      </c>
      <c r="J315" s="10" t="s">
        <v>144</v>
      </c>
      <c r="K315" s="8" t="s">
        <v>146</v>
      </c>
      <c r="L315" s="10" t="s">
        <v>144</v>
      </c>
      <c r="M315" s="8" t="s">
        <v>144</v>
      </c>
      <c r="N315" s="10" t="s">
        <v>1276</v>
      </c>
      <c r="O315" s="11" t="s">
        <v>1277</v>
      </c>
      <c r="P315" s="8" t="s">
        <v>1278</v>
      </c>
      <c r="Q315" s="10"/>
      <c r="R315" s="10" t="s">
        <v>87</v>
      </c>
      <c r="S315" s="10"/>
    </row>
    <row r="316" customFormat="false" ht="57.45" hidden="false" customHeight="false" outlineLevel="0" collapsed="false">
      <c r="A316" s="8" t="s">
        <v>1279</v>
      </c>
      <c r="B316" s="8" t="s">
        <v>1280</v>
      </c>
      <c r="C316" s="8" t="s">
        <v>74</v>
      </c>
      <c r="D316" s="8" t="s">
        <v>305</v>
      </c>
      <c r="E316" s="9" t="n">
        <f aca="false">IF(C316="inhibition",-1,1)</f>
        <v>1</v>
      </c>
      <c r="F316" s="10" t="s">
        <v>306</v>
      </c>
      <c r="G316" s="10" t="s">
        <v>306</v>
      </c>
      <c r="H316" s="10" t="s">
        <v>208</v>
      </c>
      <c r="I316" s="8" t="s">
        <v>127</v>
      </c>
      <c r="J316" s="10" t="s">
        <v>1281</v>
      </c>
      <c r="K316" s="8" t="s">
        <v>146</v>
      </c>
      <c r="L316" s="10" t="s">
        <v>92</v>
      </c>
      <c r="M316" s="8" t="s">
        <v>82</v>
      </c>
      <c r="N316" s="10" t="s">
        <v>1282</v>
      </c>
      <c r="O316" s="11" t="s">
        <v>1283</v>
      </c>
      <c r="P316" s="8" t="s">
        <v>1284</v>
      </c>
      <c r="Q316" s="10"/>
      <c r="R316" s="10" t="s">
        <v>87</v>
      </c>
      <c r="S316" s="10"/>
    </row>
    <row r="317" customFormat="false" ht="91" hidden="false" customHeight="false" outlineLevel="0" collapsed="false">
      <c r="A317" s="8" t="s">
        <v>1285</v>
      </c>
      <c r="B317" s="8" t="s">
        <v>165</v>
      </c>
      <c r="C317" s="8" t="s">
        <v>74</v>
      </c>
      <c r="D317" s="8" t="s">
        <v>1286</v>
      </c>
      <c r="E317" s="9" t="n">
        <f aca="false">IF(C317="inhibition",-1,1)</f>
        <v>1</v>
      </c>
      <c r="F317" s="10" t="s">
        <v>138</v>
      </c>
      <c r="G317" s="10" t="s">
        <v>138</v>
      </c>
      <c r="H317" s="10" t="s">
        <v>173</v>
      </c>
      <c r="I317" s="8" t="s">
        <v>127</v>
      </c>
      <c r="J317" s="10" t="s">
        <v>98</v>
      </c>
      <c r="K317" s="8" t="s">
        <v>99</v>
      </c>
      <c r="L317" s="10" t="s">
        <v>92</v>
      </c>
      <c r="M317" s="8" t="s">
        <v>82</v>
      </c>
      <c r="N317" s="10" t="s">
        <v>1287</v>
      </c>
      <c r="O317" s="11" t="s">
        <v>914</v>
      </c>
      <c r="P317" s="8" t="s">
        <v>915</v>
      </c>
      <c r="Q317" s="10"/>
      <c r="R317" s="10" t="s">
        <v>87</v>
      </c>
      <c r="S317" s="10"/>
    </row>
    <row r="318" customFormat="false" ht="57.45" hidden="false" customHeight="false" outlineLevel="0" collapsed="false">
      <c r="A318" s="8" t="s">
        <v>1288</v>
      </c>
      <c r="B318" s="8" t="s">
        <v>188</v>
      </c>
      <c r="C318" s="8" t="s">
        <v>134</v>
      </c>
      <c r="D318" s="8" t="s">
        <v>1286</v>
      </c>
      <c r="E318" s="9" t="n">
        <f aca="false">IF(C318="inhibition",-1,1)</f>
        <v>-1</v>
      </c>
      <c r="F318" s="10" t="s">
        <v>138</v>
      </c>
      <c r="G318" s="10" t="s">
        <v>138</v>
      </c>
      <c r="H318" s="10" t="s">
        <v>144</v>
      </c>
      <c r="I318" s="8" t="s">
        <v>145</v>
      </c>
      <c r="J318" s="10" t="s">
        <v>144</v>
      </c>
      <c r="K318" s="8" t="s">
        <v>146</v>
      </c>
      <c r="L318" s="10" t="s">
        <v>144</v>
      </c>
      <c r="M318" s="8" t="s">
        <v>144</v>
      </c>
      <c r="N318" s="10" t="s">
        <v>1289</v>
      </c>
      <c r="O318" s="11" t="s">
        <v>1290</v>
      </c>
      <c r="P318" s="8" t="s">
        <v>1291</v>
      </c>
      <c r="Q318" s="10"/>
      <c r="R318" s="10" t="s">
        <v>87</v>
      </c>
      <c r="S318" s="10"/>
    </row>
    <row r="319" customFormat="false" ht="46.25" hidden="false" customHeight="false" outlineLevel="0" collapsed="false">
      <c r="A319" s="8" t="s">
        <v>1292</v>
      </c>
      <c r="B319" s="8" t="s">
        <v>73</v>
      </c>
      <c r="C319" s="8" t="s">
        <v>74</v>
      </c>
      <c r="D319" s="8" t="s">
        <v>1293</v>
      </c>
      <c r="E319" s="9" t="n">
        <f aca="false">IF(C319="inhibition",-1,1)</f>
        <v>1</v>
      </c>
      <c r="F319" s="10" t="s">
        <v>76</v>
      </c>
      <c r="G319" s="10" t="s">
        <v>279</v>
      </c>
      <c r="H319" s="10" t="s">
        <v>90</v>
      </c>
      <c r="I319" s="8" t="s">
        <v>79</v>
      </c>
      <c r="J319" s="10" t="s">
        <v>98</v>
      </c>
      <c r="K319" s="8" t="s">
        <v>99</v>
      </c>
      <c r="L319" s="10" t="s">
        <v>92</v>
      </c>
      <c r="M319" s="8" t="s">
        <v>82</v>
      </c>
      <c r="N319" s="10" t="s">
        <v>395</v>
      </c>
      <c r="O319" s="11" t="s">
        <v>396</v>
      </c>
      <c r="P319" s="8" t="s">
        <v>397</v>
      </c>
      <c r="Q319" s="10"/>
      <c r="R319" s="10" t="s">
        <v>87</v>
      </c>
      <c r="S319" s="10"/>
    </row>
    <row r="320" customFormat="false" ht="46.25" hidden="false" customHeight="false" outlineLevel="0" collapsed="false">
      <c r="A320" s="8" t="s">
        <v>1294</v>
      </c>
      <c r="B320" s="8" t="s">
        <v>105</v>
      </c>
      <c r="C320" s="8" t="s">
        <v>74</v>
      </c>
      <c r="D320" s="8" t="s">
        <v>1293</v>
      </c>
      <c r="E320" s="9" t="n">
        <f aca="false">IF(C320="inhibition",-1,1)</f>
        <v>1</v>
      </c>
      <c r="F320" s="10" t="s">
        <v>76</v>
      </c>
      <c r="G320" s="10" t="s">
        <v>279</v>
      </c>
      <c r="H320" s="10" t="s">
        <v>90</v>
      </c>
      <c r="I320" s="8" t="s">
        <v>79</v>
      </c>
      <c r="J320" s="10" t="s">
        <v>98</v>
      </c>
      <c r="K320" s="8" t="s">
        <v>99</v>
      </c>
      <c r="L320" s="10" t="s">
        <v>92</v>
      </c>
      <c r="M320" s="8" t="s">
        <v>82</v>
      </c>
      <c r="N320" s="10" t="s">
        <v>395</v>
      </c>
      <c r="O320" s="11" t="s">
        <v>396</v>
      </c>
      <c r="P320" s="8" t="s">
        <v>397</v>
      </c>
      <c r="Q320" s="10"/>
      <c r="R320" s="10" t="s">
        <v>87</v>
      </c>
      <c r="S320" s="10"/>
    </row>
    <row r="321" customFormat="false" ht="46.25" hidden="false" customHeight="false" outlineLevel="0" collapsed="false">
      <c r="A321" s="8" t="s">
        <v>1295</v>
      </c>
      <c r="B321" s="8" t="s">
        <v>120</v>
      </c>
      <c r="C321" s="8" t="s">
        <v>74</v>
      </c>
      <c r="D321" s="8" t="s">
        <v>1293</v>
      </c>
      <c r="E321" s="9" t="n">
        <f aca="false">IF(C321="inhibition",-1,1)</f>
        <v>1</v>
      </c>
      <c r="F321" s="10" t="s">
        <v>76</v>
      </c>
      <c r="G321" s="10" t="s">
        <v>279</v>
      </c>
      <c r="H321" s="10" t="s">
        <v>90</v>
      </c>
      <c r="I321" s="8" t="s">
        <v>79</v>
      </c>
      <c r="J321" s="10" t="s">
        <v>81</v>
      </c>
      <c r="K321" s="8" t="s">
        <v>81</v>
      </c>
      <c r="L321" s="10" t="s">
        <v>92</v>
      </c>
      <c r="M321" s="8" t="s">
        <v>82</v>
      </c>
      <c r="N321" s="10" t="s">
        <v>1296</v>
      </c>
      <c r="O321" s="11" t="s">
        <v>1297</v>
      </c>
      <c r="P321" s="8" t="s">
        <v>1298</v>
      </c>
      <c r="Q321" s="10"/>
      <c r="R321" s="10" t="s">
        <v>87</v>
      </c>
      <c r="S321" s="10"/>
    </row>
    <row r="322" customFormat="false" ht="57.45" hidden="false" customHeight="false" outlineLevel="0" collapsed="false">
      <c r="A322" s="8" t="s">
        <v>1299</v>
      </c>
      <c r="B322" s="8" t="s">
        <v>985</v>
      </c>
      <c r="C322" s="8" t="s">
        <v>74</v>
      </c>
      <c r="D322" s="8" t="s">
        <v>673</v>
      </c>
      <c r="E322" s="9" t="n">
        <f aca="false">IF(C322="inhibition",-1,1)</f>
        <v>1</v>
      </c>
      <c r="F322" s="10" t="s">
        <v>138</v>
      </c>
      <c r="G322" s="10" t="s">
        <v>138</v>
      </c>
      <c r="H322" s="10" t="s">
        <v>144</v>
      </c>
      <c r="I322" s="8" t="s">
        <v>145</v>
      </c>
      <c r="J322" s="10" t="s">
        <v>144</v>
      </c>
      <c r="K322" s="8" t="s">
        <v>146</v>
      </c>
      <c r="L322" s="10" t="s">
        <v>144</v>
      </c>
      <c r="M322" s="8" t="s">
        <v>144</v>
      </c>
      <c r="N322" s="10" t="s">
        <v>1300</v>
      </c>
      <c r="O322" s="11" t="s">
        <v>1301</v>
      </c>
      <c r="P322" s="8" t="s">
        <v>1302</v>
      </c>
      <c r="Q322" s="10"/>
      <c r="R322" s="10" t="s">
        <v>87</v>
      </c>
      <c r="S322" s="10"/>
    </row>
    <row r="323" customFormat="false" ht="35.05" hidden="false" customHeight="false" outlineLevel="0" collapsed="false">
      <c r="A323" s="8" t="s">
        <v>1303</v>
      </c>
      <c r="B323" s="8" t="s">
        <v>179</v>
      </c>
      <c r="C323" s="8" t="s">
        <v>134</v>
      </c>
      <c r="D323" s="8" t="s">
        <v>673</v>
      </c>
      <c r="E323" s="9" t="n">
        <f aca="false">IF(C323="inhibition",-1,1)</f>
        <v>-1</v>
      </c>
      <c r="F323" s="10" t="s">
        <v>180</v>
      </c>
      <c r="G323" s="10" t="s">
        <v>138</v>
      </c>
      <c r="H323" s="10" t="s">
        <v>290</v>
      </c>
      <c r="I323" s="8" t="s">
        <v>145</v>
      </c>
      <c r="J323" s="10" t="s">
        <v>144</v>
      </c>
      <c r="K323" s="8" t="s">
        <v>146</v>
      </c>
      <c r="L323" s="10" t="s">
        <v>144</v>
      </c>
      <c r="M323" s="8" t="s">
        <v>144</v>
      </c>
      <c r="N323" s="10" t="s">
        <v>1304</v>
      </c>
      <c r="O323" s="11" t="s">
        <v>1305</v>
      </c>
      <c r="P323" s="8" t="s">
        <v>1306</v>
      </c>
      <c r="Q323" s="10"/>
      <c r="R323" s="10" t="s">
        <v>87</v>
      </c>
      <c r="S323" s="10"/>
    </row>
    <row r="324" customFormat="false" ht="57.45" hidden="false" customHeight="false" outlineLevel="0" collapsed="false">
      <c r="A324" s="8" t="s">
        <v>1307</v>
      </c>
      <c r="B324" s="8" t="s">
        <v>120</v>
      </c>
      <c r="C324" s="8" t="s">
        <v>74</v>
      </c>
      <c r="D324" s="8" t="s">
        <v>1308</v>
      </c>
      <c r="E324" s="9" t="n">
        <f aca="false">IF(C324="inhibition",-1,1)</f>
        <v>1</v>
      </c>
      <c r="F324" s="10" t="s">
        <v>76</v>
      </c>
      <c r="G324" s="10" t="s">
        <v>279</v>
      </c>
      <c r="H324" s="10" t="s">
        <v>173</v>
      </c>
      <c r="I324" s="8" t="s">
        <v>127</v>
      </c>
      <c r="J324" s="10" t="s">
        <v>1309</v>
      </c>
      <c r="K324" s="8" t="s">
        <v>81</v>
      </c>
      <c r="L324" s="10" t="s">
        <v>92</v>
      </c>
      <c r="M324" s="8" t="s">
        <v>82</v>
      </c>
      <c r="N324" s="10" t="s">
        <v>1310</v>
      </c>
      <c r="O324" s="8"/>
      <c r="P324" s="8"/>
      <c r="Q324" s="10"/>
      <c r="R324" s="10" t="s">
        <v>198</v>
      </c>
      <c r="S324" s="10"/>
    </row>
    <row r="325" customFormat="false" ht="46.25" hidden="false" customHeight="false" outlineLevel="0" collapsed="false">
      <c r="A325" s="8" t="s">
        <v>1311</v>
      </c>
      <c r="B325" s="8" t="s">
        <v>377</v>
      </c>
      <c r="C325" s="8" t="s">
        <v>74</v>
      </c>
      <c r="D325" s="8" t="s">
        <v>1308</v>
      </c>
      <c r="E325" s="9" t="n">
        <f aca="false">IF(C325="inhibition",-1,1)</f>
        <v>1</v>
      </c>
      <c r="F325" s="10" t="s">
        <v>76</v>
      </c>
      <c r="G325" s="10" t="s">
        <v>279</v>
      </c>
      <c r="H325" s="10" t="s">
        <v>196</v>
      </c>
      <c r="I325" s="8" t="s">
        <v>145</v>
      </c>
      <c r="J325" s="10" t="s">
        <v>144</v>
      </c>
      <c r="K325" s="8" t="s">
        <v>146</v>
      </c>
      <c r="L325" s="10" t="s">
        <v>144</v>
      </c>
      <c r="M325" s="8" t="s">
        <v>144</v>
      </c>
      <c r="N325" s="10" t="s">
        <v>1312</v>
      </c>
      <c r="O325" s="11" t="s">
        <v>1313</v>
      </c>
      <c r="P325" s="8" t="s">
        <v>1314</v>
      </c>
      <c r="Q325" s="10"/>
      <c r="R325" s="10" t="s">
        <v>87</v>
      </c>
      <c r="S325" s="10"/>
    </row>
    <row r="326" customFormat="false" ht="46.25" hidden="false" customHeight="false" outlineLevel="0" collapsed="false">
      <c r="A326" s="8" t="s">
        <v>1315</v>
      </c>
      <c r="B326" s="8" t="s">
        <v>383</v>
      </c>
      <c r="C326" s="8" t="s">
        <v>74</v>
      </c>
      <c r="D326" s="8" t="s">
        <v>1308</v>
      </c>
      <c r="E326" s="9" t="n">
        <f aca="false">IF(C326="inhibition",-1,1)</f>
        <v>1</v>
      </c>
      <c r="F326" s="10" t="s">
        <v>195</v>
      </c>
      <c r="G326" s="10" t="s">
        <v>279</v>
      </c>
      <c r="H326" s="10" t="s">
        <v>196</v>
      </c>
      <c r="I326" s="8" t="s">
        <v>145</v>
      </c>
      <c r="J326" s="10" t="s">
        <v>144</v>
      </c>
      <c r="K326" s="8" t="s">
        <v>146</v>
      </c>
      <c r="L326" s="10" t="s">
        <v>144</v>
      </c>
      <c r="M326" s="8" t="s">
        <v>144</v>
      </c>
      <c r="N326" s="10" t="s">
        <v>1316</v>
      </c>
      <c r="O326" s="11" t="s">
        <v>1317</v>
      </c>
      <c r="P326" s="8" t="s">
        <v>1318</v>
      </c>
      <c r="Q326" s="10"/>
      <c r="R326" s="10" t="s">
        <v>87</v>
      </c>
      <c r="S326" s="10"/>
    </row>
    <row r="327" customFormat="false" ht="46.25" hidden="false" customHeight="false" outlineLevel="0" collapsed="false">
      <c r="A327" s="8" t="s">
        <v>1319</v>
      </c>
      <c r="B327" s="8" t="s">
        <v>97</v>
      </c>
      <c r="C327" s="8" t="s">
        <v>134</v>
      </c>
      <c r="D327" s="8" t="s">
        <v>1308</v>
      </c>
      <c r="E327" s="9" t="n">
        <f aca="false">IF(C327="inhibition",-1,1)</f>
        <v>-1</v>
      </c>
      <c r="F327" s="10" t="s">
        <v>76</v>
      </c>
      <c r="G327" s="10" t="s">
        <v>279</v>
      </c>
      <c r="H327" s="10" t="s">
        <v>208</v>
      </c>
      <c r="I327" s="8" t="s">
        <v>127</v>
      </c>
      <c r="J327" s="10" t="s">
        <v>248</v>
      </c>
      <c r="K327" s="8" t="s">
        <v>99</v>
      </c>
      <c r="L327" s="10" t="s">
        <v>92</v>
      </c>
      <c r="M327" s="8" t="s">
        <v>82</v>
      </c>
      <c r="N327" s="10" t="s">
        <v>1320</v>
      </c>
      <c r="O327" s="11" t="s">
        <v>1321</v>
      </c>
      <c r="P327" s="8" t="s">
        <v>1322</v>
      </c>
      <c r="Q327" s="10"/>
      <c r="R327" s="10" t="s">
        <v>87</v>
      </c>
      <c r="S327" s="10"/>
    </row>
    <row r="328" customFormat="false" ht="57.45" hidden="false" customHeight="false" outlineLevel="0" collapsed="false">
      <c r="A328" s="8" t="s">
        <v>1323</v>
      </c>
      <c r="B328" s="8" t="s">
        <v>120</v>
      </c>
      <c r="C328" s="8" t="s">
        <v>74</v>
      </c>
      <c r="D328" s="8" t="s">
        <v>1324</v>
      </c>
      <c r="E328" s="9" t="n">
        <f aca="false">IF(C328="inhibition",-1,1)</f>
        <v>1</v>
      </c>
      <c r="F328" s="10" t="s">
        <v>76</v>
      </c>
      <c r="G328" s="10" t="s">
        <v>279</v>
      </c>
      <c r="H328" s="10" t="s">
        <v>173</v>
      </c>
      <c r="I328" s="8" t="s">
        <v>127</v>
      </c>
      <c r="J328" s="10" t="s">
        <v>1309</v>
      </c>
      <c r="K328" s="8" t="s">
        <v>81</v>
      </c>
      <c r="L328" s="10" t="s">
        <v>92</v>
      </c>
      <c r="M328" s="8" t="s">
        <v>82</v>
      </c>
      <c r="N328" s="10" t="s">
        <v>1310</v>
      </c>
      <c r="O328" s="8"/>
      <c r="P328" s="8"/>
      <c r="Q328" s="10"/>
      <c r="R328" s="10" t="s">
        <v>198</v>
      </c>
      <c r="S328" s="10"/>
    </row>
    <row r="329" customFormat="false" ht="46.25" hidden="false" customHeight="false" outlineLevel="0" collapsed="false">
      <c r="A329" s="8" t="s">
        <v>1325</v>
      </c>
      <c r="B329" s="8" t="s">
        <v>377</v>
      </c>
      <c r="C329" s="8" t="s">
        <v>74</v>
      </c>
      <c r="D329" s="8" t="s">
        <v>1324</v>
      </c>
      <c r="E329" s="9" t="n">
        <f aca="false">IF(C329="inhibition",-1,1)</f>
        <v>1</v>
      </c>
      <c r="F329" s="10" t="s">
        <v>76</v>
      </c>
      <c r="G329" s="10" t="s">
        <v>279</v>
      </c>
      <c r="H329" s="10" t="s">
        <v>196</v>
      </c>
      <c r="I329" s="8" t="s">
        <v>145</v>
      </c>
      <c r="J329" s="10" t="s">
        <v>144</v>
      </c>
      <c r="K329" s="8" t="s">
        <v>146</v>
      </c>
      <c r="L329" s="10" t="s">
        <v>144</v>
      </c>
      <c r="M329" s="8" t="s">
        <v>144</v>
      </c>
      <c r="N329" s="10" t="s">
        <v>1312</v>
      </c>
      <c r="O329" s="11" t="s">
        <v>1313</v>
      </c>
      <c r="P329" s="8" t="s">
        <v>1314</v>
      </c>
      <c r="Q329" s="10"/>
      <c r="R329" s="10" t="s">
        <v>87</v>
      </c>
      <c r="S329" s="10"/>
    </row>
    <row r="330" customFormat="false" ht="46.25" hidden="false" customHeight="false" outlineLevel="0" collapsed="false">
      <c r="A330" s="8" t="s">
        <v>1326</v>
      </c>
      <c r="B330" s="8" t="s">
        <v>351</v>
      </c>
      <c r="C330" s="8" t="s">
        <v>134</v>
      </c>
      <c r="D330" s="8" t="s">
        <v>1324</v>
      </c>
      <c r="E330" s="9" t="n">
        <f aca="false">IF(C330="inhibition",-1,1)</f>
        <v>-1</v>
      </c>
      <c r="F330" s="10" t="s">
        <v>76</v>
      </c>
      <c r="G330" s="10" t="s">
        <v>279</v>
      </c>
      <c r="H330" s="10" t="s">
        <v>196</v>
      </c>
      <c r="I330" s="8" t="s">
        <v>145</v>
      </c>
      <c r="J330" s="10" t="s">
        <v>144</v>
      </c>
      <c r="K330" s="8" t="s">
        <v>146</v>
      </c>
      <c r="L330" s="10" t="s">
        <v>144</v>
      </c>
      <c r="M330" s="8" t="s">
        <v>144</v>
      </c>
      <c r="N330" s="10" t="s">
        <v>1327</v>
      </c>
      <c r="O330" s="11" t="s">
        <v>1328</v>
      </c>
      <c r="P330" s="8" t="s">
        <v>1329</v>
      </c>
      <c r="Q330" s="10"/>
      <c r="R330" s="10" t="s">
        <v>87</v>
      </c>
      <c r="S330" s="10"/>
    </row>
    <row r="331" customFormat="false" ht="57.45" hidden="false" customHeight="false" outlineLevel="0" collapsed="false">
      <c r="A331" s="8" t="s">
        <v>1330</v>
      </c>
      <c r="B331" s="8" t="s">
        <v>803</v>
      </c>
      <c r="C331" s="8" t="s">
        <v>74</v>
      </c>
      <c r="D331" s="8" t="s">
        <v>377</v>
      </c>
      <c r="E331" s="9" t="n">
        <f aca="false">IF(C331="inhibition",-1,1)</f>
        <v>1</v>
      </c>
      <c r="F331" s="10" t="s">
        <v>389</v>
      </c>
      <c r="G331" s="10" t="s">
        <v>76</v>
      </c>
      <c r="H331" s="10" t="s">
        <v>90</v>
      </c>
      <c r="I331" s="8" t="s">
        <v>79</v>
      </c>
      <c r="J331" s="10" t="s">
        <v>81</v>
      </c>
      <c r="K331" s="8" t="s">
        <v>81</v>
      </c>
      <c r="L331" s="10" t="s">
        <v>100</v>
      </c>
      <c r="M331" s="8" t="s">
        <v>82</v>
      </c>
      <c r="N331" s="10" t="s">
        <v>1331</v>
      </c>
      <c r="O331" s="11" t="s">
        <v>1332</v>
      </c>
      <c r="P331" s="8" t="s">
        <v>1333</v>
      </c>
      <c r="Q331" s="10"/>
      <c r="R331" s="10" t="s">
        <v>87</v>
      </c>
      <c r="S331" s="10"/>
    </row>
    <row r="332" customFormat="false" ht="57.45" hidden="false" customHeight="false" outlineLevel="0" collapsed="false">
      <c r="A332" s="8" t="s">
        <v>1334</v>
      </c>
      <c r="B332" s="8" t="s">
        <v>808</v>
      </c>
      <c r="C332" s="8" t="s">
        <v>74</v>
      </c>
      <c r="D332" s="8" t="s">
        <v>377</v>
      </c>
      <c r="E332" s="9" t="n">
        <f aca="false">IF(C332="inhibition",-1,1)</f>
        <v>1</v>
      </c>
      <c r="F332" s="10" t="s">
        <v>389</v>
      </c>
      <c r="G332" s="10" t="s">
        <v>76</v>
      </c>
      <c r="H332" s="10" t="s">
        <v>90</v>
      </c>
      <c r="I332" s="8" t="s">
        <v>79</v>
      </c>
      <c r="J332" s="10" t="s">
        <v>81</v>
      </c>
      <c r="K332" s="8" t="s">
        <v>81</v>
      </c>
      <c r="L332" s="10" t="s">
        <v>100</v>
      </c>
      <c r="M332" s="8" t="s">
        <v>82</v>
      </c>
      <c r="N332" s="10" t="s">
        <v>1331</v>
      </c>
      <c r="O332" s="11" t="s">
        <v>1332</v>
      </c>
      <c r="P332" s="8" t="s">
        <v>1333</v>
      </c>
      <c r="Q332" s="10"/>
      <c r="R332" s="10" t="s">
        <v>87</v>
      </c>
      <c r="S332" s="10"/>
    </row>
    <row r="333" customFormat="false" ht="46.25" hidden="false" customHeight="false" outlineLevel="0" collapsed="false">
      <c r="A333" s="8" t="s">
        <v>1335</v>
      </c>
      <c r="B333" s="8" t="s">
        <v>798</v>
      </c>
      <c r="C333" s="8" t="s">
        <v>134</v>
      </c>
      <c r="D333" s="8" t="s">
        <v>377</v>
      </c>
      <c r="E333" s="9" t="n">
        <f aca="false">IF(C333="inhibition",-1,1)</f>
        <v>-1</v>
      </c>
      <c r="F333" s="10" t="s">
        <v>389</v>
      </c>
      <c r="G333" s="10" t="s">
        <v>76</v>
      </c>
      <c r="H333" s="10" t="s">
        <v>90</v>
      </c>
      <c r="I333" s="8" t="s">
        <v>79</v>
      </c>
      <c r="J333" s="10" t="s">
        <v>98</v>
      </c>
      <c r="K333" s="8" t="s">
        <v>99</v>
      </c>
      <c r="L333" s="10" t="s">
        <v>92</v>
      </c>
      <c r="M333" s="8" t="s">
        <v>82</v>
      </c>
      <c r="N333" s="10" t="s">
        <v>1336</v>
      </c>
      <c r="O333" s="11" t="s">
        <v>1337</v>
      </c>
      <c r="P333" s="8" t="s">
        <v>1338</v>
      </c>
      <c r="Q333" s="10"/>
      <c r="R333" s="10" t="s">
        <v>87</v>
      </c>
      <c r="S333" s="10"/>
    </row>
    <row r="334" customFormat="false" ht="68.65" hidden="false" customHeight="false" outlineLevel="0" collapsed="false">
      <c r="A334" s="8" t="s">
        <v>1339</v>
      </c>
      <c r="B334" s="8" t="s">
        <v>1280</v>
      </c>
      <c r="C334" s="8" t="s">
        <v>74</v>
      </c>
      <c r="D334" s="8" t="s">
        <v>544</v>
      </c>
      <c r="E334" s="9" t="n">
        <f aca="false">IF(C334="inhibition",-1,1)</f>
        <v>1</v>
      </c>
      <c r="F334" s="10" t="s">
        <v>306</v>
      </c>
      <c r="G334" s="10" t="s">
        <v>306</v>
      </c>
      <c r="H334" s="10" t="s">
        <v>436</v>
      </c>
      <c r="I334" s="8" t="s">
        <v>79</v>
      </c>
      <c r="J334" s="10" t="s">
        <v>98</v>
      </c>
      <c r="K334" s="8" t="s">
        <v>99</v>
      </c>
      <c r="L334" s="10" t="s">
        <v>437</v>
      </c>
      <c r="M334" s="8" t="s">
        <v>438</v>
      </c>
      <c r="N334" s="10" t="s">
        <v>1340</v>
      </c>
      <c r="O334" s="11" t="s">
        <v>1341</v>
      </c>
      <c r="P334" s="8" t="s">
        <v>1342</v>
      </c>
      <c r="Q334" s="10"/>
      <c r="R334" s="10" t="s">
        <v>87</v>
      </c>
      <c r="S334" s="10"/>
    </row>
    <row r="335" customFormat="false" ht="46.25" hidden="false" customHeight="false" outlineLevel="0" collapsed="false">
      <c r="A335" s="8" t="s">
        <v>1343</v>
      </c>
      <c r="B335" s="8" t="s">
        <v>726</v>
      </c>
      <c r="C335" s="8" t="s">
        <v>134</v>
      </c>
      <c r="D335" s="8" t="s">
        <v>544</v>
      </c>
      <c r="E335" s="9" t="n">
        <f aca="false">IF(C335="inhibition",-1,1)</f>
        <v>-1</v>
      </c>
      <c r="F335" s="10" t="s">
        <v>306</v>
      </c>
      <c r="G335" s="10" t="s">
        <v>306</v>
      </c>
      <c r="H335" s="10" t="s">
        <v>144</v>
      </c>
      <c r="I335" s="8" t="s">
        <v>145</v>
      </c>
      <c r="J335" s="10" t="s">
        <v>144</v>
      </c>
      <c r="K335" s="8" t="s">
        <v>146</v>
      </c>
      <c r="L335" s="10" t="s">
        <v>144</v>
      </c>
      <c r="M335" s="8" t="s">
        <v>144</v>
      </c>
      <c r="N335" s="10" t="s">
        <v>1344</v>
      </c>
      <c r="O335" s="11" t="s">
        <v>1345</v>
      </c>
      <c r="P335" s="8" t="s">
        <v>1346</v>
      </c>
      <c r="Q335" s="10" t="s">
        <v>1347</v>
      </c>
      <c r="R335" s="10" t="s">
        <v>87</v>
      </c>
      <c r="S335" s="10"/>
    </row>
    <row r="336" customFormat="false" ht="46.25" hidden="false" customHeight="false" outlineLevel="0" collapsed="false">
      <c r="A336" s="8" t="s">
        <v>1348</v>
      </c>
      <c r="B336" s="8" t="s">
        <v>998</v>
      </c>
      <c r="C336" s="8" t="s">
        <v>74</v>
      </c>
      <c r="D336" s="8" t="s">
        <v>532</v>
      </c>
      <c r="E336" s="9" t="n">
        <f aca="false">IF(C336="inhibition",-1,1)</f>
        <v>1</v>
      </c>
      <c r="F336" s="10" t="s">
        <v>306</v>
      </c>
      <c r="G336" s="10" t="s">
        <v>306</v>
      </c>
      <c r="H336" s="10" t="s">
        <v>1349</v>
      </c>
      <c r="I336" s="8" t="s">
        <v>127</v>
      </c>
      <c r="J336" s="10" t="s">
        <v>1350</v>
      </c>
      <c r="K336" s="8" t="s">
        <v>146</v>
      </c>
      <c r="L336" s="10" t="s">
        <v>437</v>
      </c>
      <c r="M336" s="8" t="s">
        <v>438</v>
      </c>
      <c r="N336" s="10" t="s">
        <v>1351</v>
      </c>
      <c r="O336" s="11" t="s">
        <v>1352</v>
      </c>
      <c r="P336" s="8" t="s">
        <v>1353</v>
      </c>
      <c r="Q336" s="10"/>
      <c r="R336" s="10" t="s">
        <v>87</v>
      </c>
      <c r="S336" s="10"/>
    </row>
    <row r="337" customFormat="false" ht="35.05" hidden="false" customHeight="false" outlineLevel="0" collapsed="false">
      <c r="A337" s="8" t="s">
        <v>1354</v>
      </c>
      <c r="B337" s="8" t="s">
        <v>726</v>
      </c>
      <c r="C337" s="8" t="s">
        <v>134</v>
      </c>
      <c r="D337" s="8" t="s">
        <v>532</v>
      </c>
      <c r="E337" s="9" t="n">
        <f aca="false">IF(C337="inhibition",-1,1)</f>
        <v>-1</v>
      </c>
      <c r="F337" s="10" t="s">
        <v>306</v>
      </c>
      <c r="G337" s="10" t="s">
        <v>306</v>
      </c>
      <c r="H337" s="10" t="s">
        <v>144</v>
      </c>
      <c r="I337" s="8" t="s">
        <v>145</v>
      </c>
      <c r="J337" s="10" t="s">
        <v>144</v>
      </c>
      <c r="K337" s="8" t="s">
        <v>146</v>
      </c>
      <c r="L337" s="10" t="s">
        <v>144</v>
      </c>
      <c r="M337" s="8" t="s">
        <v>144</v>
      </c>
      <c r="N337" s="10" t="s">
        <v>1344</v>
      </c>
      <c r="O337" s="11" t="s">
        <v>1345</v>
      </c>
      <c r="P337" s="8" t="s">
        <v>1346</v>
      </c>
      <c r="Q337" s="10" t="s">
        <v>1355</v>
      </c>
      <c r="R337" s="10" t="s">
        <v>87</v>
      </c>
      <c r="S337" s="10"/>
    </row>
    <row r="338" customFormat="false" ht="46.25" hidden="false" customHeight="false" outlineLevel="0" collapsed="false">
      <c r="A338" s="8" t="s">
        <v>1356</v>
      </c>
      <c r="B338" s="8" t="s">
        <v>998</v>
      </c>
      <c r="C338" s="8" t="s">
        <v>74</v>
      </c>
      <c r="D338" s="8" t="s">
        <v>536</v>
      </c>
      <c r="E338" s="9" t="n">
        <f aca="false">IF(C338="inhibition",-1,1)</f>
        <v>1</v>
      </c>
      <c r="F338" s="10" t="s">
        <v>306</v>
      </c>
      <c r="G338" s="10" t="s">
        <v>306</v>
      </c>
      <c r="H338" s="10" t="s">
        <v>1357</v>
      </c>
      <c r="I338" s="8" t="s">
        <v>127</v>
      </c>
      <c r="J338" s="10" t="s">
        <v>174</v>
      </c>
      <c r="K338" s="8" t="s">
        <v>99</v>
      </c>
      <c r="L338" s="10" t="s">
        <v>92</v>
      </c>
      <c r="M338" s="8" t="s">
        <v>82</v>
      </c>
      <c r="N338" s="10" t="s">
        <v>1358</v>
      </c>
      <c r="O338" s="11" t="s">
        <v>1359</v>
      </c>
      <c r="P338" s="8" t="s">
        <v>1360</v>
      </c>
      <c r="Q338" s="10"/>
      <c r="R338" s="10" t="s">
        <v>87</v>
      </c>
      <c r="S338" s="10"/>
    </row>
    <row r="339" customFormat="false" ht="35.05" hidden="false" customHeight="false" outlineLevel="0" collapsed="false">
      <c r="A339" s="8" t="s">
        <v>1361</v>
      </c>
      <c r="B339" s="8" t="s">
        <v>726</v>
      </c>
      <c r="C339" s="8" t="s">
        <v>134</v>
      </c>
      <c r="D339" s="8" t="s">
        <v>536</v>
      </c>
      <c r="E339" s="9" t="n">
        <f aca="false">IF(C339="inhibition",-1,1)</f>
        <v>-1</v>
      </c>
      <c r="F339" s="10" t="s">
        <v>306</v>
      </c>
      <c r="G339" s="10" t="s">
        <v>306</v>
      </c>
      <c r="H339" s="10" t="s">
        <v>144</v>
      </c>
      <c r="I339" s="8" t="s">
        <v>145</v>
      </c>
      <c r="J339" s="10" t="s">
        <v>144</v>
      </c>
      <c r="K339" s="8" t="s">
        <v>146</v>
      </c>
      <c r="L339" s="10" t="s">
        <v>144</v>
      </c>
      <c r="M339" s="8" t="s">
        <v>144</v>
      </c>
      <c r="N339" s="10" t="s">
        <v>1362</v>
      </c>
      <c r="O339" s="11" t="s">
        <v>1363</v>
      </c>
      <c r="P339" s="8" t="s">
        <v>1364</v>
      </c>
      <c r="Q339" s="10" t="s">
        <v>1365</v>
      </c>
      <c r="R339" s="10" t="s">
        <v>87</v>
      </c>
      <c r="S339" s="10"/>
    </row>
    <row r="340" customFormat="false" ht="35.05" hidden="false" customHeight="false" outlineLevel="0" collapsed="false">
      <c r="A340" s="8" t="s">
        <v>1366</v>
      </c>
      <c r="B340" s="8" t="s">
        <v>1280</v>
      </c>
      <c r="C340" s="8" t="s">
        <v>74</v>
      </c>
      <c r="D340" s="8" t="s">
        <v>546</v>
      </c>
      <c r="E340" s="9" t="n">
        <f aca="false">IF(C340="inhibition",-1,1)</f>
        <v>1</v>
      </c>
      <c r="F340" s="10" t="s">
        <v>306</v>
      </c>
      <c r="G340" s="10" t="s">
        <v>306</v>
      </c>
      <c r="H340" s="10" t="s">
        <v>1367</v>
      </c>
      <c r="I340" s="8" t="s">
        <v>145</v>
      </c>
      <c r="J340" s="10" t="s">
        <v>174</v>
      </c>
      <c r="K340" s="8" t="s">
        <v>99</v>
      </c>
      <c r="L340" s="10" t="s">
        <v>437</v>
      </c>
      <c r="M340" s="8" t="s">
        <v>438</v>
      </c>
      <c r="N340" s="10" t="s">
        <v>1368</v>
      </c>
      <c r="O340" s="11" t="s">
        <v>1369</v>
      </c>
      <c r="P340" s="8"/>
      <c r="Q340" s="10"/>
      <c r="R340" s="10" t="s">
        <v>87</v>
      </c>
      <c r="S340" s="10"/>
    </row>
    <row r="341" customFormat="false" ht="57.45" hidden="false" customHeight="false" outlineLevel="0" collapsed="false">
      <c r="A341" s="8" t="s">
        <v>1370</v>
      </c>
      <c r="B341" s="8" t="s">
        <v>726</v>
      </c>
      <c r="C341" s="8" t="s">
        <v>134</v>
      </c>
      <c r="D341" s="8" t="s">
        <v>546</v>
      </c>
      <c r="E341" s="9" t="n">
        <f aca="false">IF(C341="inhibition",-1,1)</f>
        <v>-1</v>
      </c>
      <c r="F341" s="10" t="s">
        <v>306</v>
      </c>
      <c r="G341" s="10" t="s">
        <v>306</v>
      </c>
      <c r="H341" s="10" t="s">
        <v>1371</v>
      </c>
      <c r="I341" s="8" t="s">
        <v>145</v>
      </c>
      <c r="J341" s="10" t="s">
        <v>1372</v>
      </c>
      <c r="K341" s="8" t="s">
        <v>81</v>
      </c>
      <c r="L341" s="10" t="s">
        <v>82</v>
      </c>
      <c r="M341" s="8" t="s">
        <v>82</v>
      </c>
      <c r="N341" s="10" t="s">
        <v>1373</v>
      </c>
      <c r="O341" s="11" t="s">
        <v>1374</v>
      </c>
      <c r="P341" s="8" t="s">
        <v>1375</v>
      </c>
      <c r="Q341" s="10" t="s">
        <v>1376</v>
      </c>
      <c r="R341" s="10" t="s">
        <v>87</v>
      </c>
      <c r="S341" s="10"/>
    </row>
    <row r="342" customFormat="false" ht="46.25" hidden="false" customHeight="false" outlineLevel="0" collapsed="false">
      <c r="A342" s="8" t="s">
        <v>1377</v>
      </c>
      <c r="B342" s="8" t="s">
        <v>964</v>
      </c>
      <c r="C342" s="8" t="s">
        <v>74</v>
      </c>
      <c r="D342" s="8" t="s">
        <v>383</v>
      </c>
      <c r="E342" s="9" t="n">
        <f aca="false">IF(C342="inhibition",-1,1)</f>
        <v>1</v>
      </c>
      <c r="F342" s="10" t="s">
        <v>389</v>
      </c>
      <c r="G342" s="10" t="s">
        <v>195</v>
      </c>
      <c r="H342" s="10" t="s">
        <v>90</v>
      </c>
      <c r="I342" s="8" t="s">
        <v>79</v>
      </c>
      <c r="J342" s="10" t="s">
        <v>108</v>
      </c>
      <c r="K342" s="8" t="s">
        <v>81</v>
      </c>
      <c r="L342" s="10" t="s">
        <v>92</v>
      </c>
      <c r="M342" s="8" t="s">
        <v>82</v>
      </c>
      <c r="N342" s="10" t="s">
        <v>1378</v>
      </c>
      <c r="O342" s="11" t="s">
        <v>1379</v>
      </c>
      <c r="P342" s="8" t="s">
        <v>1380</v>
      </c>
      <c r="Q342" s="10"/>
      <c r="R342" s="10" t="s">
        <v>87</v>
      </c>
      <c r="S342" s="10"/>
    </row>
    <row r="343" customFormat="false" ht="46.25" hidden="false" customHeight="false" outlineLevel="0" collapsed="false">
      <c r="A343" s="8" t="s">
        <v>1381</v>
      </c>
      <c r="B343" s="8" t="s">
        <v>969</v>
      </c>
      <c r="C343" s="8" t="s">
        <v>74</v>
      </c>
      <c r="D343" s="8" t="s">
        <v>383</v>
      </c>
      <c r="E343" s="9" t="n">
        <f aca="false">IF(C343="inhibition",-1,1)</f>
        <v>1</v>
      </c>
      <c r="F343" s="10" t="s">
        <v>389</v>
      </c>
      <c r="G343" s="10" t="s">
        <v>195</v>
      </c>
      <c r="H343" s="10" t="s">
        <v>90</v>
      </c>
      <c r="I343" s="8" t="s">
        <v>79</v>
      </c>
      <c r="J343" s="10" t="s">
        <v>108</v>
      </c>
      <c r="K343" s="8" t="s">
        <v>81</v>
      </c>
      <c r="L343" s="10" t="s">
        <v>92</v>
      </c>
      <c r="M343" s="8" t="s">
        <v>82</v>
      </c>
      <c r="N343" s="10" t="s">
        <v>1378</v>
      </c>
      <c r="O343" s="11" t="s">
        <v>1379</v>
      </c>
      <c r="P343" s="8" t="s">
        <v>1380</v>
      </c>
      <c r="Q343" s="10"/>
      <c r="R343" s="10" t="s">
        <v>87</v>
      </c>
      <c r="S343" s="10"/>
    </row>
    <row r="344" customFormat="false" ht="46.25" hidden="false" customHeight="false" outlineLevel="0" collapsed="false">
      <c r="A344" s="8" t="s">
        <v>1382</v>
      </c>
      <c r="B344" s="8" t="s">
        <v>377</v>
      </c>
      <c r="C344" s="8" t="s">
        <v>74</v>
      </c>
      <c r="D344" s="8" t="s">
        <v>383</v>
      </c>
      <c r="E344" s="9" t="n">
        <f aca="false">IF(C344="inhibition",-1,1)</f>
        <v>1</v>
      </c>
      <c r="F344" s="10" t="s">
        <v>76</v>
      </c>
      <c r="G344" s="10" t="s">
        <v>195</v>
      </c>
      <c r="H344" s="10" t="s">
        <v>196</v>
      </c>
      <c r="I344" s="8" t="s">
        <v>145</v>
      </c>
      <c r="J344" s="10" t="s">
        <v>144</v>
      </c>
      <c r="K344" s="8" t="s">
        <v>146</v>
      </c>
      <c r="L344" s="10" t="s">
        <v>144</v>
      </c>
      <c r="M344" s="8" t="s">
        <v>144</v>
      </c>
      <c r="N344" s="10" t="s">
        <v>1312</v>
      </c>
      <c r="O344" s="11" t="s">
        <v>1313</v>
      </c>
      <c r="P344" s="8" t="s">
        <v>1314</v>
      </c>
      <c r="Q344" s="10"/>
      <c r="R344" s="10" t="s">
        <v>87</v>
      </c>
      <c r="S344" s="10"/>
    </row>
    <row r="345" customFormat="false" ht="35.05" hidden="false" customHeight="false" outlineLevel="0" collapsed="false">
      <c r="A345" s="8" t="s">
        <v>1383</v>
      </c>
      <c r="B345" s="8" t="s">
        <v>472</v>
      </c>
      <c r="C345" s="8" t="s">
        <v>134</v>
      </c>
      <c r="D345" s="8" t="s">
        <v>383</v>
      </c>
      <c r="E345" s="9" t="n">
        <f aca="false">IF(C345="inhibition",-1,1)</f>
        <v>-1</v>
      </c>
      <c r="F345" s="10" t="s">
        <v>138</v>
      </c>
      <c r="G345" s="10" t="s">
        <v>195</v>
      </c>
      <c r="H345" s="10" t="s">
        <v>144</v>
      </c>
      <c r="I345" s="8" t="s">
        <v>145</v>
      </c>
      <c r="J345" s="10" t="s">
        <v>144</v>
      </c>
      <c r="K345" s="8" t="s">
        <v>146</v>
      </c>
      <c r="L345" s="10" t="s">
        <v>144</v>
      </c>
      <c r="M345" s="8" t="s">
        <v>144</v>
      </c>
      <c r="N345" s="10" t="s">
        <v>1384</v>
      </c>
      <c r="O345" s="11" t="s">
        <v>1385</v>
      </c>
      <c r="P345" s="8" t="s">
        <v>1386</v>
      </c>
      <c r="Q345" s="10"/>
      <c r="R345" s="10" t="s">
        <v>87</v>
      </c>
      <c r="S345" s="10"/>
    </row>
    <row r="346" customFormat="false" ht="46.25" hidden="false" customHeight="false" outlineLevel="0" collapsed="false">
      <c r="A346" s="8" t="s">
        <v>1387</v>
      </c>
      <c r="B346" s="8" t="s">
        <v>97</v>
      </c>
      <c r="C346" s="8" t="s">
        <v>134</v>
      </c>
      <c r="D346" s="8" t="s">
        <v>383</v>
      </c>
      <c r="E346" s="9" t="n">
        <f aca="false">IF(C346="inhibition",-1,1)</f>
        <v>-1</v>
      </c>
      <c r="F346" s="10" t="s">
        <v>76</v>
      </c>
      <c r="G346" s="10" t="s">
        <v>195</v>
      </c>
      <c r="H346" s="10" t="s">
        <v>208</v>
      </c>
      <c r="I346" s="8" t="s">
        <v>127</v>
      </c>
      <c r="J346" s="10" t="s">
        <v>248</v>
      </c>
      <c r="K346" s="8" t="s">
        <v>99</v>
      </c>
      <c r="L346" s="10" t="s">
        <v>92</v>
      </c>
      <c r="M346" s="8" t="s">
        <v>82</v>
      </c>
      <c r="N346" s="10" t="s">
        <v>1320</v>
      </c>
      <c r="O346" s="11" t="s">
        <v>1321</v>
      </c>
      <c r="P346" s="8" t="s">
        <v>1322</v>
      </c>
      <c r="Q346" s="10"/>
      <c r="R346" s="10" t="s">
        <v>87</v>
      </c>
      <c r="S346" s="10"/>
    </row>
    <row r="347" customFormat="false" ht="57.45" hidden="false" customHeight="false" outlineLevel="0" collapsed="false">
      <c r="A347" s="8" t="s">
        <v>1388</v>
      </c>
      <c r="B347" s="8" t="s">
        <v>165</v>
      </c>
      <c r="C347" s="8" t="s">
        <v>74</v>
      </c>
      <c r="D347" s="8" t="s">
        <v>1181</v>
      </c>
      <c r="E347" s="9" t="n">
        <f aca="false">IF(C347="inhibition",-1,1)</f>
        <v>1</v>
      </c>
      <c r="F347" s="10" t="s">
        <v>138</v>
      </c>
      <c r="G347" s="10" t="s">
        <v>138</v>
      </c>
      <c r="H347" s="10" t="s">
        <v>90</v>
      </c>
      <c r="I347" s="8" t="s">
        <v>79</v>
      </c>
      <c r="J347" s="10" t="s">
        <v>108</v>
      </c>
      <c r="K347" s="8" t="s">
        <v>81</v>
      </c>
      <c r="L347" s="10" t="s">
        <v>92</v>
      </c>
      <c r="M347" s="8" t="s">
        <v>82</v>
      </c>
      <c r="N347" s="10" t="s">
        <v>1389</v>
      </c>
      <c r="O347" s="11" t="s">
        <v>1390</v>
      </c>
      <c r="P347" s="8" t="s">
        <v>1391</v>
      </c>
      <c r="Q347" s="10"/>
      <c r="R347" s="10" t="s">
        <v>87</v>
      </c>
      <c r="S347" s="10"/>
    </row>
    <row r="348" customFormat="false" ht="46.25" hidden="false" customHeight="false" outlineLevel="0" collapsed="false">
      <c r="A348" s="8" t="s">
        <v>1392</v>
      </c>
      <c r="B348" s="8" t="s">
        <v>179</v>
      </c>
      <c r="C348" s="8" t="s">
        <v>134</v>
      </c>
      <c r="D348" s="8" t="s">
        <v>1181</v>
      </c>
      <c r="E348" s="9" t="n">
        <f aca="false">IF(C348="inhibition",-1,1)</f>
        <v>-1</v>
      </c>
      <c r="F348" s="10" t="s">
        <v>180</v>
      </c>
      <c r="G348" s="10" t="s">
        <v>138</v>
      </c>
      <c r="H348" s="10" t="s">
        <v>1393</v>
      </c>
      <c r="I348" s="8" t="s">
        <v>145</v>
      </c>
      <c r="J348" s="10" t="s">
        <v>1004</v>
      </c>
      <c r="K348" s="8" t="s">
        <v>81</v>
      </c>
      <c r="L348" s="10" t="s">
        <v>82</v>
      </c>
      <c r="M348" s="8" t="s">
        <v>82</v>
      </c>
      <c r="N348" s="10" t="s">
        <v>1394</v>
      </c>
      <c r="O348" s="11" t="s">
        <v>1395</v>
      </c>
      <c r="P348" s="8" t="s">
        <v>1396</v>
      </c>
      <c r="Q348" s="10" t="s">
        <v>1397</v>
      </c>
      <c r="R348" s="10" t="s">
        <v>87</v>
      </c>
      <c r="S348" s="10"/>
    </row>
    <row r="349" customFormat="false" ht="46.25" hidden="false" customHeight="false" outlineLevel="0" collapsed="false">
      <c r="A349" s="8" t="s">
        <v>1398</v>
      </c>
      <c r="B349" s="8" t="s">
        <v>693</v>
      </c>
      <c r="C349" s="8" t="s">
        <v>74</v>
      </c>
      <c r="D349" s="8" t="s">
        <v>172</v>
      </c>
      <c r="E349" s="9" t="n">
        <f aca="false">IF(C349="inhibition",-1,1)</f>
        <v>1</v>
      </c>
      <c r="F349" s="10" t="s">
        <v>138</v>
      </c>
      <c r="G349" s="10" t="s">
        <v>138</v>
      </c>
      <c r="H349" s="10" t="s">
        <v>290</v>
      </c>
      <c r="I349" s="8" t="s">
        <v>145</v>
      </c>
      <c r="J349" s="10" t="s">
        <v>144</v>
      </c>
      <c r="K349" s="8" t="s">
        <v>146</v>
      </c>
      <c r="L349" s="10" t="s">
        <v>144</v>
      </c>
      <c r="M349" s="8" t="s">
        <v>144</v>
      </c>
      <c r="N349" s="10" t="s">
        <v>1399</v>
      </c>
      <c r="O349" s="11" t="s">
        <v>1400</v>
      </c>
      <c r="P349" s="8" t="s">
        <v>1401</v>
      </c>
      <c r="Q349" s="10"/>
      <c r="R349" s="10" t="s">
        <v>87</v>
      </c>
      <c r="S349" s="10"/>
    </row>
    <row r="350" customFormat="false" ht="35.05" hidden="false" customHeight="false" outlineLevel="0" collapsed="false">
      <c r="A350" s="8" t="s">
        <v>1402</v>
      </c>
      <c r="B350" s="8" t="s">
        <v>1280</v>
      </c>
      <c r="C350" s="8" t="s">
        <v>74</v>
      </c>
      <c r="D350" s="8" t="s">
        <v>542</v>
      </c>
      <c r="E350" s="9" t="n">
        <f aca="false">IF(C350="inhibition",-1,1)</f>
        <v>1</v>
      </c>
      <c r="F350" s="10" t="s">
        <v>306</v>
      </c>
      <c r="G350" s="10" t="s">
        <v>306</v>
      </c>
      <c r="H350" s="10" t="s">
        <v>436</v>
      </c>
      <c r="I350" s="8" t="s">
        <v>79</v>
      </c>
      <c r="J350" s="10" t="s">
        <v>174</v>
      </c>
      <c r="K350" s="8" t="s">
        <v>99</v>
      </c>
      <c r="L350" s="10" t="s">
        <v>437</v>
      </c>
      <c r="M350" s="8" t="s">
        <v>438</v>
      </c>
      <c r="N350" s="10" t="s">
        <v>1403</v>
      </c>
      <c r="O350" s="11" t="s">
        <v>1404</v>
      </c>
      <c r="P350" s="8"/>
      <c r="Q350" s="10"/>
      <c r="R350" s="10" t="s">
        <v>87</v>
      </c>
      <c r="S350" s="10"/>
    </row>
    <row r="351" customFormat="false" ht="35.05" hidden="false" customHeight="false" outlineLevel="0" collapsed="false">
      <c r="A351" s="8" t="s">
        <v>1405</v>
      </c>
      <c r="B351" s="8" t="s">
        <v>726</v>
      </c>
      <c r="C351" s="8" t="s">
        <v>134</v>
      </c>
      <c r="D351" s="8" t="s">
        <v>542</v>
      </c>
      <c r="E351" s="9" t="n">
        <f aca="false">IF(C351="inhibition",-1,1)</f>
        <v>-1</v>
      </c>
      <c r="F351" s="10" t="s">
        <v>306</v>
      </c>
      <c r="G351" s="10" t="s">
        <v>306</v>
      </c>
      <c r="H351" s="10" t="s">
        <v>144</v>
      </c>
      <c r="I351" s="8" t="s">
        <v>145</v>
      </c>
      <c r="J351" s="10" t="s">
        <v>144</v>
      </c>
      <c r="K351" s="8" t="s">
        <v>146</v>
      </c>
      <c r="L351" s="10" t="s">
        <v>144</v>
      </c>
      <c r="M351" s="8" t="s">
        <v>144</v>
      </c>
      <c r="N351" s="10" t="s">
        <v>1406</v>
      </c>
      <c r="O351" s="11" t="s">
        <v>1407</v>
      </c>
      <c r="P351" s="8" t="s">
        <v>1408</v>
      </c>
      <c r="Q351" s="10" t="s">
        <v>1409</v>
      </c>
      <c r="R351" s="10" t="s">
        <v>87</v>
      </c>
      <c r="S351" s="10"/>
    </row>
    <row r="352" customFormat="false" ht="35.05" hidden="false" customHeight="false" outlineLevel="0" collapsed="false">
      <c r="A352" s="8" t="s">
        <v>1410</v>
      </c>
      <c r="B352" s="8" t="s">
        <v>998</v>
      </c>
      <c r="C352" s="8" t="s">
        <v>74</v>
      </c>
      <c r="D352" s="8" t="s">
        <v>526</v>
      </c>
      <c r="E352" s="9" t="n">
        <f aca="false">IF(C352="inhibition",-1,1)</f>
        <v>1</v>
      </c>
      <c r="F352" s="10" t="s">
        <v>306</v>
      </c>
      <c r="G352" s="10" t="s">
        <v>306</v>
      </c>
      <c r="H352" s="10" t="s">
        <v>436</v>
      </c>
      <c r="I352" s="8" t="s">
        <v>79</v>
      </c>
      <c r="J352" s="10" t="s">
        <v>174</v>
      </c>
      <c r="K352" s="8" t="s">
        <v>99</v>
      </c>
      <c r="L352" s="10" t="s">
        <v>437</v>
      </c>
      <c r="M352" s="8" t="s">
        <v>438</v>
      </c>
      <c r="N352" s="10" t="s">
        <v>1403</v>
      </c>
      <c r="O352" s="11" t="s">
        <v>1404</v>
      </c>
      <c r="P352" s="8"/>
      <c r="Q352" s="10"/>
      <c r="R352" s="10" t="s">
        <v>87</v>
      </c>
      <c r="S352" s="10"/>
    </row>
    <row r="353" customFormat="false" ht="35.05" hidden="false" customHeight="false" outlineLevel="0" collapsed="false">
      <c r="A353" s="8" t="s">
        <v>1411</v>
      </c>
      <c r="B353" s="8" t="s">
        <v>726</v>
      </c>
      <c r="C353" s="8" t="s">
        <v>134</v>
      </c>
      <c r="D353" s="8" t="s">
        <v>526</v>
      </c>
      <c r="E353" s="9" t="n">
        <f aca="false">IF(C353="inhibition",-1,1)</f>
        <v>-1</v>
      </c>
      <c r="F353" s="10" t="s">
        <v>306</v>
      </c>
      <c r="G353" s="10" t="s">
        <v>306</v>
      </c>
      <c r="H353" s="10" t="s">
        <v>144</v>
      </c>
      <c r="I353" s="8" t="s">
        <v>145</v>
      </c>
      <c r="J353" s="10" t="s">
        <v>144</v>
      </c>
      <c r="K353" s="8" t="s">
        <v>146</v>
      </c>
      <c r="L353" s="10" t="s">
        <v>144</v>
      </c>
      <c r="M353" s="8" t="s">
        <v>144</v>
      </c>
      <c r="N353" s="10" t="s">
        <v>1406</v>
      </c>
      <c r="O353" s="11" t="s">
        <v>1407</v>
      </c>
      <c r="P353" s="8" t="s">
        <v>1408</v>
      </c>
      <c r="Q353" s="10" t="s">
        <v>1412</v>
      </c>
      <c r="R353" s="10" t="s">
        <v>87</v>
      </c>
      <c r="S353" s="10"/>
    </row>
    <row r="354" customFormat="false" ht="46.25" hidden="false" customHeight="false" outlineLevel="0" collapsed="false">
      <c r="A354" s="8" t="s">
        <v>1413</v>
      </c>
      <c r="B354" s="8" t="s">
        <v>179</v>
      </c>
      <c r="C354" s="8" t="s">
        <v>74</v>
      </c>
      <c r="D354" s="8" t="s">
        <v>1414</v>
      </c>
      <c r="E354" s="9" t="n">
        <f aca="false">IF(C354="inhibition",-1,1)</f>
        <v>1</v>
      </c>
      <c r="F354" s="10" t="s">
        <v>180</v>
      </c>
      <c r="G354" s="10" t="s">
        <v>138</v>
      </c>
      <c r="H354" s="10" t="s">
        <v>78</v>
      </c>
      <c r="I354" s="8" t="s">
        <v>79</v>
      </c>
      <c r="J354" s="10" t="s">
        <v>1415</v>
      </c>
      <c r="K354" s="8" t="s">
        <v>146</v>
      </c>
      <c r="L354" s="10" t="s">
        <v>82</v>
      </c>
      <c r="M354" s="8" t="s">
        <v>82</v>
      </c>
      <c r="N354" s="10" t="s">
        <v>1416</v>
      </c>
      <c r="O354" s="11" t="s">
        <v>1417</v>
      </c>
      <c r="P354" s="8" t="s">
        <v>1418</v>
      </c>
      <c r="Q354" s="10" t="s">
        <v>1419</v>
      </c>
      <c r="R354" s="10" t="s">
        <v>87</v>
      </c>
      <c r="S354" s="10"/>
    </row>
  </sheetData>
  <conditionalFormatting sqref="C2:C354">
    <cfRule type="expression" priority="2" aboveAverage="0" equalAverage="0" bottom="0" percent="0" rank="0" text="" dxfId="7">
      <formula>$C2="activation"</formula>
    </cfRule>
    <cfRule type="expression" priority="3" aboveAverage="0" equalAverage="0" bottom="0" percent="0" rank="0" text="" dxfId="8">
      <formula>$C2="inhibition"</formula>
    </cfRule>
  </conditionalFormatting>
  <conditionalFormatting sqref="E2:E354">
    <cfRule type="expression" priority="4" aboveAverage="0" equalAverage="0" bottom="0" percent="0" rank="0" text="" dxfId="7">
      <formula>$E2=1</formula>
    </cfRule>
    <cfRule type="expression" priority="5" aboveAverage="0" equalAverage="0" bottom="0" percent="0" rank="0" text="" dxfId="8">
      <formula>$E2=-1</formula>
    </cfRule>
  </conditionalFormatting>
  <conditionalFormatting sqref="R2:R354">
    <cfRule type="expression" priority="6" aboveAverage="0" equalAverage="0" bottom="0" percent="0" rank="0" text="" dxfId="9">
      <formula>LEFT($R2,6)="NOTICE"</formula>
    </cfRule>
  </conditionalFormatting>
  <conditionalFormatting sqref="Q2:Q354">
    <cfRule type="expression" priority="7" aboveAverage="0" equalAverage="0" bottom="0" percent="0" rank="0" text="" dxfId="10">
      <formula>$Q2&lt;&gt;""</formula>
    </cfRule>
  </conditionalFormatting>
  <hyperlinks>
    <hyperlink ref="O2" r:id="rId2" display="10.1016/j.bbrc.2017.05.086"/>
    <hyperlink ref="O3" r:id="rId3" display="10.1111/jcmm.18048"/>
    <hyperlink ref="O4" r:id="rId4" display="10.1002/jcp.21904"/>
    <hyperlink ref="O5" r:id="rId5" display="10.1016/j.lfs.2019.116565"/>
    <hyperlink ref="O6" r:id="rId6" display="10.1186/s12967-016-0833-9"/>
    <hyperlink ref="O7" r:id="rId7" display="10.1186/s13018-015-0296-3"/>
    <hyperlink ref="O8" r:id="rId8" display="10.3892/mmr.2013.1729"/>
    <hyperlink ref="O9" r:id="rId9" display="10.1111/jcmm.18048"/>
    <hyperlink ref="O10" r:id="rId10" display="10.1016/j.joca.2017.08.019"/>
    <hyperlink ref="O11" r:id="rId11" display="10.1160/th13-06-0484"/>
    <hyperlink ref="O12" r:id="rId12" display="10.1126/science.277.5325.567"/>
    <hyperlink ref="O13" r:id="rId13" display="10.1016/j.joca.2017.08.019"/>
    <hyperlink ref="O14" r:id="rId14" display="10.1160/th13-06-0484"/>
    <hyperlink ref="O15" r:id="rId15" display="10.1126/science.277.5325.567"/>
    <hyperlink ref="O16" r:id="rId16" display="10.1016/j.cmet.2005.06.005"/>
    <hyperlink ref="O17" r:id="rId17" display="10.1186/ar4254"/>
    <hyperlink ref="O18" r:id="rId18" display="10.1016/j.freeradbiomed.2009.02.019"/>
    <hyperlink ref="O19" r:id="rId19" display="10.1038/s42255-019-0157-1"/>
    <hyperlink ref="O21" r:id="rId20" display="10.1007/s00418-005-0026-8"/>
    <hyperlink ref="O22" r:id="rId21" display="10.1186/s12967-016-0833-9"/>
    <hyperlink ref="O23" r:id="rId22" display="10.1186/s12967-016-0833-9"/>
    <hyperlink ref="O24" r:id="rId23" display="10.1002/1529-0131(200103)44:3&lt;595::aid-anr108&gt;3.0.co;2-8"/>
    <hyperlink ref="O25" r:id="rId24" display="10.1242/dev.134502; 10.1038/s41556-023-01184-y"/>
    <hyperlink ref="O26" r:id="rId25" display="10.18632/oncotarget.3631"/>
    <hyperlink ref="O27" r:id="rId26" display="10.1038/s41598-021-81838-9"/>
    <hyperlink ref="O28" r:id="rId27" display="10.1371/journal.pone.0158619"/>
    <hyperlink ref="O29" r:id="rId28" display="10.18632/oncotarget.3631"/>
    <hyperlink ref="O30" r:id="rId29" display="10.1038/s41598-021-81838-9"/>
    <hyperlink ref="O31" r:id="rId30" display="10.3390/antiox13060626"/>
    <hyperlink ref="O32" r:id="rId31" display="10.1016/j.ajpath.2024.05.004"/>
    <hyperlink ref="O33" r:id="rId32" display="10.1186/s13018-023-03815-4"/>
    <hyperlink ref="O34" r:id="rId33" display="10.12659/msm.913726"/>
    <hyperlink ref="O35" r:id="rId34" display="10.1038/sj.emboj.7601126"/>
    <hyperlink ref="O36" r:id="rId35" display="10.1186/s13018-023-03815-4"/>
    <hyperlink ref="O37" r:id="rId36" display="10.1186/s13018-023-03815-4"/>
    <hyperlink ref="O38" r:id="rId37" display="10.1002/jcb.21198"/>
    <hyperlink ref="O39" r:id="rId38" display="10.1111/jcmm.18048"/>
    <hyperlink ref="O40" r:id="rId39" display="10.1038/cdd.2017.186"/>
    <hyperlink ref="O41" r:id="rId40" display="10.1016/j.ajpath.2024.05.004"/>
    <hyperlink ref="O43" r:id="rId41" display="10.1016/j.joca.2008.04.027"/>
    <hyperlink ref="O44" r:id="rId42" display="10.1002/dvdy.20323"/>
    <hyperlink ref="O45" r:id="rId43" display="10.1002/jbmr.4019"/>
    <hyperlink ref="O46" r:id="rId44" display="10.3390/cells9010147"/>
    <hyperlink ref="O47" r:id="rId45" display="10.22203/ecm.v032a08"/>
    <hyperlink ref="O48" r:id="rId46" display="10.1016/j.steroids.2005.04.007"/>
    <hyperlink ref="O49" r:id="rId47" display="10.1016/j.intimp.2020.106681"/>
    <hyperlink ref="O50" r:id="rId48" display="10.1038/s41598-021-82067-w"/>
    <hyperlink ref="O51" r:id="rId49" display="10.1038/s12276-020-0441-x"/>
    <hyperlink ref="O52" r:id="rId50" display="10.1016/0167-4838(83)90140-1"/>
    <hyperlink ref="O53" r:id="rId51" display="10.1038/sj.cdd.4402028"/>
    <hyperlink ref="O54" r:id="rId52" display="10.1007/s12551-017-0308-0"/>
    <hyperlink ref="O55" r:id="rId53" display="10.1186/s13018-023-03815-4"/>
    <hyperlink ref="O56" r:id="rId54" display="10.1002/art.38868"/>
    <hyperlink ref="O57" r:id="rId55" display="10.1038/s12276-022-00829-6"/>
    <hyperlink ref="O58" r:id="rId56" display="10.1111/j.1476-5381.2009.00143.x"/>
    <hyperlink ref="O59" r:id="rId57" display="10.1038/s12276-024-01168-4"/>
    <hyperlink ref="O60" r:id="rId58" display="10.1038/srep29916"/>
    <hyperlink ref="O61" r:id="rId59" display="10.3389/fphar.2024.1476255"/>
    <hyperlink ref="O62" r:id="rId60" display="10.1186/s13075-018-1723-8"/>
    <hyperlink ref="O63" r:id="rId61" display="10.1242/jcs.100107"/>
    <hyperlink ref="O64" r:id="rId62" display="10.1002/art.24073"/>
    <hyperlink ref="O65" r:id="rId63" display="10.1038/nm.2146"/>
    <hyperlink ref="O66" r:id="rId64" display="10.1083/jcb.200211089"/>
    <hyperlink ref="O67" r:id="rId65" display="10.1371/journal.pgen.1002356"/>
    <hyperlink ref="O68" r:id="rId66" display="10.1074/jbc.m411793200"/>
    <hyperlink ref="O69" r:id="rId67" display="10.3892/ijmm.2021.4956"/>
    <hyperlink ref="O70" r:id="rId68" display="10.3390/ijms241210004"/>
    <hyperlink ref="O71" r:id="rId69" display="10.1186/s12950-024-00398-7"/>
    <hyperlink ref="O72" r:id="rId70" display="10.1371/journal.pgen.1002356"/>
    <hyperlink ref="O73" r:id="rId71" display="10.1016/j.bbrc.2017.05.086"/>
    <hyperlink ref="O74" r:id="rId72" display="10.1111/jcmm.18048"/>
    <hyperlink ref="O75" r:id="rId73" display="10.1016/j.matbio.2020.09.003"/>
    <hyperlink ref="O76" r:id="rId74" display="10.1016/j.gene.2019.04.020"/>
    <hyperlink ref="O77" r:id="rId75" display="10.1186/s12967-016-0833-9"/>
    <hyperlink ref="O79" r:id="rId76" display="10.1083/jcb.200111073"/>
    <hyperlink ref="O80" r:id="rId77" display="10.1083/jcb.200805048"/>
    <hyperlink ref="O81" r:id="rId78" display="10.1371/journal.pone.0082045"/>
    <hyperlink ref="O82" r:id="rId79" display="10.1371/journal.pone.0082045"/>
    <hyperlink ref="O83" r:id="rId80" display="10.1124/mol.109.056473"/>
    <hyperlink ref="O84" r:id="rId81" display="10.1046/j.1471-4159.2001.00495.x"/>
    <hyperlink ref="O85" r:id="rId82" display="10.1074/jbc.m115.702571; 10.1074/jbc.a115.702571"/>
    <hyperlink ref="O86" r:id="rId83" display="10.1016/j.joca.2008.04.027"/>
    <hyperlink ref="O87" r:id="rId84" display="10.1074/jbc.m115.702571; 10.1074/jbc.a115.702571"/>
    <hyperlink ref="O88" r:id="rId85" display="10.1016/j.joca.2008.04.027"/>
    <hyperlink ref="O89" r:id="rId86" display="10.1038/emm.2000.18"/>
    <hyperlink ref="O90" r:id="rId87" display="10.1073/pnas.0808249105"/>
    <hyperlink ref="O91" r:id="rId88" display="10.1016/j.jot.2025.01.013"/>
    <hyperlink ref="O92" r:id="rId89" display="10.1359/jbmr.070322"/>
    <hyperlink ref="O93" r:id="rId90" display="10.1038/sj.onc.1203362"/>
    <hyperlink ref="O94" r:id="rId91" display="10.1097/01.brs.0000159096.11248.6d"/>
    <hyperlink ref="O95" r:id="rId92" display="10.1097/01.brs.0000159096.11248.6d"/>
    <hyperlink ref="O96" r:id="rId93" display="10.1074/jbc.m201283200"/>
    <hyperlink ref="O97" r:id="rId94" display="10.1038/srep23258"/>
    <hyperlink ref="O98" r:id="rId95" display="10.1007/s10753-022-01770-6"/>
    <hyperlink ref="O99" r:id="rId96" display="10.1074/jbc.m201283200"/>
    <hyperlink ref="O100" r:id="rId97" display="10.1038/srep23258"/>
    <hyperlink ref="O102" r:id="rId98" display="10.1101/gad.1482906"/>
    <hyperlink ref="O103" r:id="rId99" display="10.1002/lary.20157"/>
    <hyperlink ref="O104" r:id="rId100" display="10.1074/jbc.m608995200"/>
    <hyperlink ref="O106" r:id="rId101" display="10.1007/bf00229313"/>
    <hyperlink ref="O107" r:id="rId102" display="10.1182/blood-2005-09-3541"/>
    <hyperlink ref="O108" r:id="rId103" display="10.1042/cs20150622"/>
    <hyperlink ref="O109" r:id="rId104" display="10.1016/j.intimp.2019.04.012"/>
    <hyperlink ref="O110" r:id="rId105" display="10.1002/art.38791"/>
    <hyperlink ref="O111" r:id="rId106" display="10.1074/jbc.m508510200"/>
    <hyperlink ref="O112" r:id="rId107" display="10.1016/j.cell.2006.03.046"/>
    <hyperlink ref="O113" r:id="rId108" display="10.1074/jbc.m111.284224"/>
    <hyperlink ref="O115" r:id="rId109" display="10.1038/ncb1676"/>
    <hyperlink ref="O116" r:id="rId110" display="10.1126/science.1068712"/>
    <hyperlink ref="O117" r:id="rId111" display="10.1002/art.23504"/>
    <hyperlink ref="O118" r:id="rId112" display="10.1016/j.ydbio.2010.02.024"/>
    <hyperlink ref="O119" r:id="rId113" display="10.1016/j.ydbio.2010.02.024"/>
    <hyperlink ref="O120" r:id="rId114" display="10.1101/gad.1230704"/>
    <hyperlink ref="O121" r:id="rId115" display="10.3390/ijms222011082"/>
    <hyperlink ref="O122" r:id="rId116" display="10.1002/art.38868"/>
    <hyperlink ref="O123" r:id="rId117" display="10.1038/s12276-022-00829-6"/>
    <hyperlink ref="O124" r:id="rId118" display="10.1038/s41419-019-2202-0"/>
    <hyperlink ref="O126" r:id="rId119" display="10.1016/j.joca.2008.04.006"/>
    <hyperlink ref="O127" r:id="rId120" display="10.1074/jbc.m112.365882"/>
    <hyperlink ref="O128" r:id="rId121" display="10.1038/onc.2014.164"/>
    <hyperlink ref="O129" r:id="rId122" display="10.1186/ar1765"/>
    <hyperlink ref="O130" r:id="rId123" display="10.1128/mcb.00015-07"/>
    <hyperlink ref="O131" r:id="rId124" display="10.21037/atm-21-2701"/>
    <hyperlink ref="O132" r:id="rId125" display="10.1186/s11658-023-00489-y"/>
    <hyperlink ref="O133" r:id="rId126" display="10.1016/j.joca.2014.06.031"/>
    <hyperlink ref="O135" r:id="rId127" display="10.1016/j.jot.2023.03.002"/>
    <hyperlink ref="O136" r:id="rId128" display="10.1371/journal.pone.0039679"/>
    <hyperlink ref="O137" r:id="rId129" display="10.1126/science.1165946"/>
    <hyperlink ref="O138" r:id="rId130" display="10.15252/embj.201489062"/>
    <hyperlink ref="O139" r:id="rId131" display="10.1002/jcb.1163"/>
    <hyperlink ref="O140" r:id="rId132" display="10.1002/humu.9503"/>
    <hyperlink ref="O141" r:id="rId133" display="10.1074/jbc.271.7.3355"/>
    <hyperlink ref="O142" r:id="rId134" display="10.1172/jci.insight.131382"/>
    <hyperlink ref="O143" r:id="rId135" display="10.1002/jcb.25099"/>
    <hyperlink ref="O144" r:id="rId136" display="10.1128/mcb.00409-10"/>
    <hyperlink ref="O145" r:id="rId137" display="10.1016/s0022-2836(02)01404-3"/>
    <hyperlink ref="O146" r:id="rId138" display="10.1038/s41598-017-17289-y"/>
    <hyperlink ref="O148" r:id="rId139" display="10.1038/s41388-018-0417-7"/>
    <hyperlink ref="O149" r:id="rId140" display="10.1016/j.intimp.2019.04.012"/>
    <hyperlink ref="O150" r:id="rId141" display="10.1186/s12967-016-0833-9"/>
    <hyperlink ref="O152" r:id="rId142" display="10.1038/s41388-018-0417-7"/>
    <hyperlink ref="O153" r:id="rId143" display="10.1186/s12950-024-00398-7"/>
    <hyperlink ref="O154" r:id="rId144" display="10.1016/j.joca.2015.02.168"/>
    <hyperlink ref="O158" r:id="rId145" display="10.1016/j.jot.2023.03.002"/>
    <hyperlink ref="O159" r:id="rId146" display="10.1038/emm.2000.18"/>
    <hyperlink ref="O160" r:id="rId147" display="10.1046/j.1471-4159.2000.0750788.x"/>
    <hyperlink ref="O161" r:id="rId148" display="10.1016/j.bbamcr.2008.12.003"/>
    <hyperlink ref="O163" r:id="rId149" display="10.3724/abbs.2024027"/>
    <hyperlink ref="O164" r:id="rId150" display="10.1074/jbc.m109690200"/>
    <hyperlink ref="O165" r:id="rId151" display="10.3389/fcell.2024.1423665"/>
    <hyperlink ref="O166" r:id="rId152" display="10.1080/03008207.2020.1736578"/>
    <hyperlink ref="O167" r:id="rId153" display="10.3892/ijmm.2018.3921"/>
    <hyperlink ref="O168" r:id="rId154" display="10.1016/j.cell.2012.06.037; 10.1016/j.cell.2024.02.007"/>
    <hyperlink ref="O169" r:id="rId155" display="10.1016/j.cell.2012.06.037; 10.1016/j.cell.2024.02.007"/>
    <hyperlink ref="O170" r:id="rId156" display="10.1073/pnas.090491897; 10.1074/jbc.275.5.3577"/>
    <hyperlink ref="O171" r:id="rId157" display="10.3390/ijms15011176"/>
    <hyperlink ref="O172" r:id="rId158" display="10.3390/ijms15011176"/>
    <hyperlink ref="O173" r:id="rId159" display="10.3389/fphar.2017.00756"/>
    <hyperlink ref="O174" r:id="rId160" display="10.1042/bcj20190410"/>
    <hyperlink ref="O175" r:id="rId161" display="10.1016/j.ajpath.2024.05.004"/>
    <hyperlink ref="O176" r:id="rId162" display="10.3389/fcell.2023.1324561"/>
    <hyperlink ref="O177" r:id="rId163" display="10.3389/fcell.2023.1324561"/>
    <hyperlink ref="O178" r:id="rId164" display="10.1111/cpr.13438"/>
    <hyperlink ref="O179" r:id="rId165" display="10.3389/fcell.2024.1423665"/>
    <hyperlink ref="O180" r:id="rId166" display="10.1002/1529-0131(200110)44:10&lt;2296::aid-art392&gt;3.0.co;2-9"/>
    <hyperlink ref="O182" r:id="rId167" display="10.2147/jir.s444758"/>
    <hyperlink ref="O183" r:id="rId168" display="10.2147/dddt.s203974"/>
    <hyperlink ref="O184" r:id="rId169" display="10.1038/s41598-017-17289-y"/>
    <hyperlink ref="O185" r:id="rId170" display="10.1016/j.lfs.2019.116565"/>
    <hyperlink ref="O186" r:id="rId171" display="10.1080/03008207.2021.1952193"/>
    <hyperlink ref="O188" r:id="rId172" display="10.1002/path.2578"/>
    <hyperlink ref="O189" r:id="rId173" display="10.2460/ajvr.73.10.1553"/>
    <hyperlink ref="O190" r:id="rId174" display="10.2147/jir.s444758"/>
    <hyperlink ref="O191" r:id="rId175" display="10.2147/dddt.s203974"/>
    <hyperlink ref="O192" r:id="rId176" display="10.1038/s41598-017-17289-y"/>
    <hyperlink ref="O194" r:id="rId177" display="10.2147/jir.s444758"/>
    <hyperlink ref="O195" r:id="rId178" display="10.2147/dddt.s203974"/>
    <hyperlink ref="O196" r:id="rId179" display="10.1038/sj.cdd.4401963"/>
    <hyperlink ref="O197" r:id="rId180" display="10.1038/cdd.2017.186"/>
    <hyperlink ref="O198" r:id="rId181" display="10.1242/jcs.001586"/>
    <hyperlink ref="O199" r:id="rId182" display="10.1080/03008207.2021.1952193"/>
    <hyperlink ref="O200" r:id="rId183" display="10.1101/gad.219402.113"/>
    <hyperlink ref="O201" r:id="rId184" display="10.1152/physrev.00026.2020"/>
    <hyperlink ref="O202" r:id="rId185" display="10.1152/physrev.00026.2020"/>
    <hyperlink ref="O203" r:id="rId186" display="10.1073/pnas.0600678103"/>
    <hyperlink ref="O204" r:id="rId187" display="10.1016/j.cub.2005.02.053"/>
    <hyperlink ref="O205" r:id="rId188" display="10.1159/000493225"/>
    <hyperlink ref="O206" r:id="rId189" display="10.1002/stem.1476"/>
    <hyperlink ref="O207" r:id="rId190" display="10.18632/oncotarget.18628"/>
    <hyperlink ref="O208" r:id="rId191" display="10.1128/mcb.00601-09"/>
    <hyperlink ref="O209" r:id="rId192" display="10.3892/ijmm.2017.3005"/>
    <hyperlink ref="O210" r:id="rId193" display="10.1159/000489804"/>
    <hyperlink ref="O211" r:id="rId194" display="10.3724/abbs.2024027"/>
    <hyperlink ref="O213" r:id="rId195" display="10.1155/2022/5635797; 10.1038/s41419-019-1701-3"/>
    <hyperlink ref="O214" r:id="rId196" display="10.1016/j.ijcard.2021.08.007"/>
    <hyperlink ref="O215" r:id="rId197" display="10.1128/mcb.01204-10"/>
    <hyperlink ref="O216" r:id="rId198" display="10.1074/jbc.m109690200"/>
    <hyperlink ref="O217" r:id="rId199" display="10.1111/cpr.13438"/>
    <hyperlink ref="O218" r:id="rId200" display="10.22203/ecm.v030a07"/>
    <hyperlink ref="O220" r:id="rId201" display="10.1016/j.mad.2022.111715"/>
    <hyperlink ref="O221" r:id="rId202" display="10.1016/j.mad.2022.111715"/>
    <hyperlink ref="O222" r:id="rId203" display="10.1007/s00018-023-05094-y; 10.1007/s00018-025-05824-4"/>
    <hyperlink ref="O223" r:id="rId204" display="10.1007/s00018-023-05094-y; 10.1007/s00018-025-05824-4"/>
    <hyperlink ref="O225" r:id="rId205" display="10.1074/jbc.273.3.1733"/>
    <hyperlink ref="O226" r:id="rId206" display="10.1074/jbc.m111.334466"/>
    <hyperlink ref="O227" r:id="rId207" display="10.1097/brs.0000000000001220"/>
    <hyperlink ref="O228" r:id="rId208" display="10.1097/brs.0000000000001220"/>
    <hyperlink ref="O229" r:id="rId209" display="10.1002/jcb.27683"/>
    <hyperlink ref="O230" r:id="rId210" display="10.1042/cs20258735"/>
    <hyperlink ref="O231" r:id="rId211" display="10.1038/s41392-021-00828-5"/>
    <hyperlink ref="O232" r:id="rId212" display="10.1074/jbc.273.22.13375"/>
    <hyperlink ref="O233" r:id="rId213" display="10.1038/s41392-021-00828-5"/>
    <hyperlink ref="O234" r:id="rId214" display="10.1074/jbc.m608086200"/>
    <hyperlink ref="O235" r:id="rId215" display="10.1074/jbc.m208300200"/>
    <hyperlink ref="O236" r:id="rId216" display="10.1074/jbc.m608086200"/>
    <hyperlink ref="O237" r:id="rId217" display="10.1074/jbc.m208300200"/>
    <hyperlink ref="O238" r:id="rId218" display="10.1126/science.271.5249.645"/>
    <hyperlink ref="O240" r:id="rId219" display="10.1194/jlr.m700419-jlr200"/>
    <hyperlink ref="O241" r:id="rId220" display="10.1194/jlr.m700419-jlr200"/>
    <hyperlink ref="O242" r:id="rId221" display="10.1074/jbc.271.44.27723"/>
    <hyperlink ref="O243" r:id="rId222" display="10.1093/emboj/17.2.414"/>
    <hyperlink ref="O244" r:id="rId223" display="10.1093/emboj/17.2.414"/>
    <hyperlink ref="O245" r:id="rId224" display="10.1074/jbc.m311033200"/>
    <hyperlink ref="O246" r:id="rId225" display="10.1074/jbc.m311033200"/>
    <hyperlink ref="O247" r:id="rId226" display="10.1002/jcb.20351"/>
    <hyperlink ref="O248" r:id="rId227" display="10.1002/jcb.20351"/>
    <hyperlink ref="O249" r:id="rId228" display="10.1016/j.molcel.2010.07.022"/>
    <hyperlink ref="O250" r:id="rId229" display="10.1186/s12951-023-02075-y"/>
    <hyperlink ref="O251" r:id="rId230" display="10.1002/art.38791"/>
    <hyperlink ref="O252" r:id="rId231" display="10.1164/rccm.200907-1047oc"/>
    <hyperlink ref="O254" r:id="rId232" display="10.1186/ar2151"/>
    <hyperlink ref="O255" r:id="rId233" display="10.4049/jimmunol.1402554"/>
    <hyperlink ref="O256" r:id="rId234" display="10.1016/s0960-9822(01)00225-1"/>
    <hyperlink ref="O257" r:id="rId235" display="10.1089/scd.2010.0465"/>
    <hyperlink ref="O258" r:id="rId236" display="10.1091/mbc.e06-03-0207"/>
    <hyperlink ref="O259" r:id="rId237" display="10.1186/bcr922"/>
    <hyperlink ref="O260" r:id="rId238" display="10.1091/mbc.e06-03-0207"/>
    <hyperlink ref="O261" r:id="rId239" display="10.1186/bcr922"/>
    <hyperlink ref="O262" r:id="rId240" display="10.3389/fcell.2023.1324561"/>
    <hyperlink ref="O263" r:id="rId241" display="10.3389/fcell.2023.1324561"/>
    <hyperlink ref="O264" r:id="rId242" display="10.1038/372786a0"/>
    <hyperlink ref="O265" r:id="rId243" display="10.1038/372786a0"/>
    <hyperlink ref="O268" r:id="rId244" display="10.1152/physrev.00026.2020"/>
    <hyperlink ref="O270" r:id="rId245" display="10.1016/j.cell.2006.06.055"/>
    <hyperlink ref="O271" r:id="rId246" display="10.1016/j.ceb.2009.05.006"/>
    <hyperlink ref="O272" r:id="rId247" display="10.1016/j.ceb.2009.05.006"/>
    <hyperlink ref="O273" r:id="rId248" display="10.1038/s12276-021-00716-6"/>
    <hyperlink ref="O274" r:id="rId249" display="10.1038/s12276-021-00716-6"/>
    <hyperlink ref="O275" r:id="rId250" display="10.3233/jad-2010-100465"/>
    <hyperlink ref="O276" r:id="rId251" display="10.1016/j.cellsig.2026.112769"/>
    <hyperlink ref="O277" r:id="rId252" display="10.1073/pnas.2209184120"/>
    <hyperlink ref="O278" r:id="rId253" display="10.1002/advs.202105466"/>
    <hyperlink ref="O279" r:id="rId254" display="10.3390/ijms20040972"/>
    <hyperlink ref="O281" r:id="rId255" display="10.1002/jbmr.561; 10.1002/jbmr.4300"/>
    <hyperlink ref="O282" r:id="rId256" display="10.1002/jbmr.561; 10.1002/jbmr.4300"/>
    <hyperlink ref="O283" r:id="rId257" display="10.1002/jbmr.174"/>
    <hyperlink ref="O284" r:id="rId258" display="10.3892/etm.2022.11193"/>
    <hyperlink ref="O285" r:id="rId259" display="10.1172/jci.insight.131382"/>
    <hyperlink ref="O286" r:id="rId260" display="10.1038/s12276-022-00829-6"/>
    <hyperlink ref="O287" r:id="rId261" display="10.1002/jor.23583"/>
    <hyperlink ref="O288" r:id="rId262" display="10.1038/s12276-022-00829-6"/>
    <hyperlink ref="O289" r:id="rId263" display="10.1083/jcb.200312045"/>
    <hyperlink ref="O290" r:id="rId264" display="10.1083/jcb.200312045"/>
    <hyperlink ref="O291" r:id="rId265" display="10.1002/jcp.21904"/>
    <hyperlink ref="O292" r:id="rId266" display="10.1016/j.cellsig.2013.12.001"/>
    <hyperlink ref="O293" r:id="rId267" display="10.3390/ijms222111355"/>
    <hyperlink ref="O294" r:id="rId268" display="10.1002/art.25051"/>
    <hyperlink ref="O295" r:id="rId269" display="10.1074/jbc.m411793200"/>
    <hyperlink ref="O297" r:id="rId270" display="10.1210/me.2010-0037"/>
    <hyperlink ref="O298" r:id="rId271" display="10.1074/jbc.m604322200"/>
    <hyperlink ref="O299" r:id="rId272" display="10.1128/mcb.23.1.131-139.2003"/>
    <hyperlink ref="O300" r:id="rId273" display="10.1016/j.fob.2015.06.001"/>
    <hyperlink ref="O301" r:id="rId274" display="10.1172/jci.insight.131382"/>
    <hyperlink ref="O302" r:id="rId275" display="10.1097/brs.0000000000001235"/>
    <hyperlink ref="O303" r:id="rId276" display="10.1097/brs.0000000000001235"/>
    <hyperlink ref="O304" r:id="rId277" display="10.1093/cvr/cvu053"/>
    <hyperlink ref="O305" r:id="rId278" display="10.1161/atvbaha.117.310502"/>
    <hyperlink ref="O306" r:id="rId279" display="10.1053/joca.2002.0827"/>
    <hyperlink ref="O308" r:id="rId280" display="10.1101/gad.543109"/>
    <hyperlink ref="O309" r:id="rId281" display="10.1038/s41598-017-17289-y"/>
    <hyperlink ref="O311" r:id="rId282" display="10.1016/j.joca.2016.02.003"/>
    <hyperlink ref="O312" r:id="rId283" display="10.1359/jbmr.070322"/>
    <hyperlink ref="O313" r:id="rId284" display="10.1359/jbmr.070322"/>
    <hyperlink ref="O314" r:id="rId285" display="10.1359/jbmr.070322"/>
    <hyperlink ref="O315" r:id="rId286" display="10.1152/ajprenal.00591.2012"/>
    <hyperlink ref="O316" r:id="rId287" display="10.1073/pnas.1319569111"/>
    <hyperlink ref="O317" r:id="rId288" display="10.1159/000493225"/>
    <hyperlink ref="O318" r:id="rId289" display="10.1091/mbc.e08-12-1248"/>
    <hyperlink ref="O319" r:id="rId290" display="10.1002/art.24073"/>
    <hyperlink ref="O320" r:id="rId291" display="10.1002/art.24073"/>
    <hyperlink ref="O321" r:id="rId292" display="10.1186/s13075-014-0416-1"/>
    <hyperlink ref="O322" r:id="rId293" display="10.1074/jbc.m112.440552"/>
    <hyperlink ref="O323" r:id="rId294" display="10.1016/j.bbamcr.2023.119573"/>
    <hyperlink ref="O325" r:id="rId295" display="10.1016/j.cell.2015.07.013"/>
    <hyperlink ref="O326" r:id="rId296" display="10.1074/jbc.m107977200"/>
    <hyperlink ref="O327" r:id="rId297" display="10.1074/jbc.m808048200"/>
    <hyperlink ref="O329" r:id="rId298" display="10.1016/j.cell.2015.07.013"/>
    <hyperlink ref="O330" r:id="rId299" display="10.1074/jbc.m706638200"/>
    <hyperlink ref="O331" r:id="rId300" display="10.1096/fj.201802725rrr"/>
    <hyperlink ref="O332" r:id="rId301" display="10.1096/fj.201802725rrr"/>
    <hyperlink ref="O333" r:id="rId302" display="10.1111/cpr.12492"/>
    <hyperlink ref="O334" r:id="rId303" display="10.1016/j.spinee.2014.12.143"/>
    <hyperlink ref="O335" r:id="rId304" display="10.1111/j.1582-4934.2012.01553.x"/>
    <hyperlink ref="O336" r:id="rId305" display="10.1007/s00441-003-0836-8"/>
    <hyperlink ref="O337" r:id="rId306" display="10.1111/j.1582-4934.2012.01553.x"/>
    <hyperlink ref="O338" r:id="rId307" display="10.1002/cbin.11293"/>
    <hyperlink ref="O339" r:id="rId308" display="10.1091/mbc.e04-12-1082"/>
    <hyperlink ref="O340" r:id="rId309" display="10.1038/boneres.2017.8"/>
    <hyperlink ref="O341" r:id="rId310" display="10.1111/j.1067-1927.2005.130206.x"/>
    <hyperlink ref="O342" r:id="rId311" display="10.1152/ajpcell.00355.2021"/>
    <hyperlink ref="O343" r:id="rId312" display="10.1152/ajpcell.00355.2021"/>
    <hyperlink ref="O344" r:id="rId313" display="10.1016/j.cell.2015.07.013"/>
    <hyperlink ref="O345" r:id="rId314" display="10.1016/s0006-291x(02)00485-0"/>
    <hyperlink ref="O346" r:id="rId315" display="10.1074/jbc.m808048200"/>
    <hyperlink ref="O347" r:id="rId316" display="10.1155/2022/7655142"/>
    <hyperlink ref="O348" r:id="rId317" display="10.1016/j.bbrc.2024.150371"/>
    <hyperlink ref="O349" r:id="rId318" display="10.1074/jbc.m805711200"/>
    <hyperlink ref="O350" r:id="rId319" display="10.1038/s41419-025-08002-3"/>
    <hyperlink ref="O351" r:id="rId320" display="10.1096/fj.13-243741"/>
    <hyperlink ref="O352" r:id="rId321" display="10.1038/s41419-025-08002-3"/>
    <hyperlink ref="O353" r:id="rId322" display="10.1096/fj.13-243741"/>
    <hyperlink ref="O354" r:id="rId323" display="10.1007/s00264-013-2144-6"/>
  </hyperlinks>
  <printOptions headings="false" gridLines="false" gridLinesSet="true" horizontalCentered="tru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legacyDrawing r:id="rId324"/>
  <tableParts>
    <tablePart r:id="rId32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F9D69"/>
    <pageSetUpPr fitToPage="true"/>
  </sheetPr>
  <dimension ref="A1:D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2"/>
    <col collapsed="false" customWidth="true" hidden="false" outlineLevel="0" max="5" min="2" style="0" width="15"/>
  </cols>
  <sheetData>
    <row r="1" customFormat="false" ht="19.7" hidden="false" customHeight="false" outlineLevel="0" collapsed="false">
      <c r="A1" s="12" t="s">
        <v>1420</v>
      </c>
    </row>
    <row r="2" customFormat="false" ht="15" hidden="false" customHeight="false" outlineLevel="0" collapsed="false">
      <c r="A2" s="13" t="s">
        <v>1421</v>
      </c>
    </row>
    <row r="4" customFormat="false" ht="15" hidden="false" customHeight="false" outlineLevel="0" collapsed="false">
      <c r="A4" s="14" t="s">
        <v>1422</v>
      </c>
    </row>
    <row r="5" customFormat="false" ht="15" hidden="false" customHeight="false" outlineLevel="0" collapsed="false">
      <c r="A5" s="15" t="s">
        <v>5</v>
      </c>
      <c r="B5" s="16" t="n">
        <f aca="false">COUNTA(Interactions!$A$2:$A$354)</f>
        <v>353</v>
      </c>
    </row>
    <row r="6" customFormat="false" ht="15" hidden="false" customHeight="false" outlineLevel="0" collapsed="false">
      <c r="A6" s="15" t="s">
        <v>1423</v>
      </c>
      <c r="B6" s="16" t="n">
        <f aca="false">COUNTIF(Interactions!$C$2:$C$354,"activation")</f>
        <v>277</v>
      </c>
    </row>
    <row r="7" customFormat="false" ht="15" hidden="false" customHeight="false" outlineLevel="0" collapsed="false">
      <c r="A7" s="15" t="s">
        <v>1424</v>
      </c>
      <c r="B7" s="16" t="n">
        <f aca="false">COUNTIF(Interactions!$C$2:$C$354,"inhibition")</f>
        <v>76</v>
      </c>
    </row>
    <row r="8" customFormat="false" ht="15" hidden="false" customHeight="false" outlineLevel="0" collapsed="false">
      <c r="A8" s="15" t="s">
        <v>1425</v>
      </c>
      <c r="B8" s="16" t="n">
        <f aca="false">COUNTIF(Interactions!$O$2:$O$354,"?*")</f>
        <v>322</v>
      </c>
    </row>
    <row r="9" customFormat="false" ht="15" hidden="false" customHeight="false" outlineLevel="0" collapsed="false">
      <c r="A9" s="15" t="s">
        <v>1426</v>
      </c>
      <c r="B9" s="16" t="n">
        <f aca="false">COUNTIF(Interactions!$Q$2:$Q$354,"?*")</f>
        <v>37</v>
      </c>
    </row>
    <row r="10" customFormat="false" ht="15" hidden="false" customHeight="false" outlineLevel="0" collapsed="false">
      <c r="A10" s="15" t="s">
        <v>1427</v>
      </c>
      <c r="B10" s="16" t="n">
        <f aca="false">COUNTIF(Interactions!$R$2:$R$354,"NOTICE*")</f>
        <v>0</v>
      </c>
    </row>
    <row r="11" customFormat="false" ht="15" hidden="false" customHeight="false" outlineLevel="0" collapsed="false">
      <c r="A11" s="15" t="s">
        <v>1428</v>
      </c>
      <c r="B11" s="16" t="n">
        <f aca="false">COUNTIF(Interactions!$S$2:$S$354,"?*")</f>
        <v>5</v>
      </c>
    </row>
    <row r="12" customFormat="false" ht="15" hidden="false" customHeight="false" outlineLevel="0" collapsed="false">
      <c r="A12" s="15" t="s">
        <v>1429</v>
      </c>
      <c r="B12" s="16" t="n">
        <v>235</v>
      </c>
    </row>
    <row r="14" customFormat="false" ht="15" hidden="false" customHeight="false" outlineLevel="0" collapsed="false">
      <c r="A14" s="14" t="s">
        <v>1430</v>
      </c>
    </row>
    <row r="15" customFormat="false" ht="15" hidden="false" customHeight="false" outlineLevel="0" collapsed="false">
      <c r="A15" s="17" t="s">
        <v>40</v>
      </c>
      <c r="B15" s="17" t="s">
        <v>5</v>
      </c>
      <c r="C15" s="17" t="s">
        <v>1431</v>
      </c>
    </row>
    <row r="16" customFormat="false" ht="15" hidden="false" customHeight="false" outlineLevel="0" collapsed="false">
      <c r="A16" s="15" t="s">
        <v>79</v>
      </c>
      <c r="B16" s="15" t="n">
        <f aca="false">COUNTIF(Interactions!$I$2:$I$354,A16)</f>
        <v>108</v>
      </c>
      <c r="C16" s="18" t="n">
        <f aca="false">B16/$B$19</f>
        <v>0.305949008498584</v>
      </c>
    </row>
    <row r="17" customFormat="false" ht="15" hidden="false" customHeight="false" outlineLevel="0" collapsed="false">
      <c r="A17" s="15" t="s">
        <v>127</v>
      </c>
      <c r="B17" s="15" t="n">
        <f aca="false">COUNTIF(Interactions!$I$2:$I$354,A17)</f>
        <v>75</v>
      </c>
      <c r="C17" s="18" t="n">
        <f aca="false">B17/$B$19</f>
        <v>0.212464589235127</v>
      </c>
    </row>
    <row r="18" customFormat="false" ht="15" hidden="false" customHeight="false" outlineLevel="0" collapsed="false">
      <c r="A18" s="15" t="s">
        <v>145</v>
      </c>
      <c r="B18" s="15" t="n">
        <f aca="false">COUNTIF(Interactions!$I$2:$I$354,A18)</f>
        <v>170</v>
      </c>
      <c r="C18" s="18" t="n">
        <f aca="false">B18/$B$19</f>
        <v>0.481586402266289</v>
      </c>
    </row>
    <row r="19" customFormat="false" ht="15" hidden="false" customHeight="false" outlineLevel="0" collapsed="false">
      <c r="A19" s="19" t="s">
        <v>1432</v>
      </c>
      <c r="B19" s="19" t="n">
        <f aca="false">SUM(B16:B18)</f>
        <v>353</v>
      </c>
      <c r="C19" s="20" t="n">
        <f aca="false">B19/B19</f>
        <v>1</v>
      </c>
    </row>
    <row r="22" customFormat="false" ht="15" hidden="false" customHeight="false" outlineLevel="0" collapsed="false">
      <c r="A22" s="14" t="s">
        <v>1433</v>
      </c>
    </row>
    <row r="23" customFormat="false" ht="15" hidden="false" customHeight="false" outlineLevel="0" collapsed="false">
      <c r="A23" s="17" t="s">
        <v>42</v>
      </c>
      <c r="B23" s="17" t="s">
        <v>5</v>
      </c>
      <c r="C23" s="17" t="s">
        <v>1431</v>
      </c>
    </row>
    <row r="24" customFormat="false" ht="15" hidden="false" customHeight="false" outlineLevel="0" collapsed="false">
      <c r="A24" s="15" t="s">
        <v>81</v>
      </c>
      <c r="B24" s="15" t="n">
        <f aca="false">COUNTIF(Interactions!$K$2:$K$354,A24)</f>
        <v>114</v>
      </c>
      <c r="C24" s="18" t="n">
        <f aca="false">B24/$B$27</f>
        <v>0.322946175637394</v>
      </c>
    </row>
    <row r="25" customFormat="false" ht="15" hidden="false" customHeight="false" outlineLevel="0" collapsed="false">
      <c r="A25" s="15" t="s">
        <v>99</v>
      </c>
      <c r="B25" s="15" t="n">
        <f aca="false">COUNTIF(Interactions!$K$2:$K$354,A25)</f>
        <v>75</v>
      </c>
      <c r="C25" s="18" t="n">
        <f aca="false">B25/$B$27</f>
        <v>0.212464589235127</v>
      </c>
    </row>
    <row r="26" customFormat="false" ht="15" hidden="false" customHeight="false" outlineLevel="0" collapsed="false">
      <c r="A26" s="15" t="s">
        <v>146</v>
      </c>
      <c r="B26" s="15" t="n">
        <f aca="false">COUNTIF(Interactions!$K$2:$K$354,A26)</f>
        <v>164</v>
      </c>
      <c r="C26" s="18" t="n">
        <f aca="false">B26/$B$27</f>
        <v>0.464589235127479</v>
      </c>
    </row>
    <row r="27" customFormat="false" ht="15" hidden="false" customHeight="false" outlineLevel="0" collapsed="false">
      <c r="A27" s="19" t="s">
        <v>1432</v>
      </c>
      <c r="B27" s="19" t="n">
        <f aca="false">SUM(B24:B26)</f>
        <v>353</v>
      </c>
      <c r="C27" s="20" t="n">
        <f aca="false">B27/B27</f>
        <v>1</v>
      </c>
    </row>
    <row r="30" customFormat="false" ht="15" hidden="false" customHeight="false" outlineLevel="0" collapsed="false">
      <c r="A30" s="14" t="s">
        <v>1434</v>
      </c>
    </row>
    <row r="31" customFormat="false" ht="15" hidden="false" customHeight="false" outlineLevel="0" collapsed="false">
      <c r="A31" s="17" t="s">
        <v>44</v>
      </c>
      <c r="B31" s="17" t="s">
        <v>5</v>
      </c>
      <c r="C31" s="17" t="s">
        <v>1431</v>
      </c>
    </row>
    <row r="32" customFormat="false" ht="15" hidden="false" customHeight="false" outlineLevel="0" collapsed="false">
      <c r="A32" s="15" t="s">
        <v>82</v>
      </c>
      <c r="B32" s="15" t="n">
        <f aca="false">COUNTIF(Interactions!$M$2:$M$354,A32)</f>
        <v>166</v>
      </c>
      <c r="C32" s="18" t="n">
        <f aca="false">B32/$B$37</f>
        <v>0.470254957507082</v>
      </c>
    </row>
    <row r="33" customFormat="false" ht="15" hidden="false" customHeight="false" outlineLevel="0" collapsed="false">
      <c r="A33" s="15" t="s">
        <v>438</v>
      </c>
      <c r="B33" s="15" t="n">
        <f aca="false">COUNTIF(Interactions!$M$2:$M$354,A33)</f>
        <v>16</v>
      </c>
      <c r="C33" s="18" t="n">
        <f aca="false">B33/$B$37</f>
        <v>0.0453257790368272</v>
      </c>
    </row>
    <row r="34" customFormat="false" ht="15" hidden="false" customHeight="false" outlineLevel="0" collapsed="false">
      <c r="A34" s="15" t="s">
        <v>249</v>
      </c>
      <c r="B34" s="15" t="n">
        <f aca="false">COUNTIF(Interactions!$M$2:$M$354,A34)</f>
        <v>7</v>
      </c>
      <c r="C34" s="18" t="n">
        <f aca="false">B34/$B$37</f>
        <v>0.0198300283286119</v>
      </c>
    </row>
    <row r="35" customFormat="false" ht="15" hidden="false" customHeight="false" outlineLevel="0" collapsed="false">
      <c r="A35" s="15" t="s">
        <v>216</v>
      </c>
      <c r="B35" s="15" t="n">
        <f aca="false">COUNTIF(Interactions!$M$2:$M$354,A35)</f>
        <v>10</v>
      </c>
      <c r="C35" s="18" t="n">
        <f aca="false">B35/$B$37</f>
        <v>0.028328611898017</v>
      </c>
    </row>
    <row r="36" customFormat="false" ht="15" hidden="false" customHeight="false" outlineLevel="0" collapsed="false">
      <c r="A36" s="15" t="s">
        <v>144</v>
      </c>
      <c r="B36" s="15" t="n">
        <f aca="false">COUNTIF(Interactions!$M$2:$M$354,A36)</f>
        <v>154</v>
      </c>
      <c r="C36" s="18" t="n">
        <f aca="false">B36/$B$37</f>
        <v>0.436260623229462</v>
      </c>
    </row>
    <row r="37" customFormat="false" ht="15" hidden="false" customHeight="false" outlineLevel="0" collapsed="false">
      <c r="A37" s="19" t="s">
        <v>1432</v>
      </c>
      <c r="B37" s="19" t="n">
        <f aca="false">SUM(B32:B36)</f>
        <v>353</v>
      </c>
      <c r="C37" s="20" t="n">
        <f aca="false">B37/B37</f>
        <v>1</v>
      </c>
    </row>
    <row r="40" customFormat="false" ht="15" hidden="false" customHeight="false" outlineLevel="0" collapsed="false">
      <c r="A40" s="14" t="s">
        <v>1435</v>
      </c>
    </row>
    <row r="41" customFormat="false" ht="15" hidden="false" customHeight="false" outlineLevel="0" collapsed="false">
      <c r="A41" s="17" t="s">
        <v>1436</v>
      </c>
      <c r="B41" s="17" t="s">
        <v>1437</v>
      </c>
      <c r="C41" s="17" t="s">
        <v>1438</v>
      </c>
      <c r="D41" s="17" t="s">
        <v>1439</v>
      </c>
    </row>
    <row r="42" customFormat="false" ht="15" hidden="false" customHeight="false" outlineLevel="0" collapsed="false">
      <c r="A42" s="15" t="s">
        <v>107</v>
      </c>
      <c r="B42" s="15" t="n">
        <f aca="false">COUNTIF(Interactions!$F$2:$F$354,A42)</f>
        <v>0</v>
      </c>
      <c r="C42" s="15" t="n">
        <f aca="false">COUNTIF(Interactions!$G$2:$G$354,A42)</f>
        <v>40</v>
      </c>
      <c r="D42" s="15" t="n">
        <f aca="false">COUNTIFS(Interactions!$F$2:$F$354,A42,Interactions!$G$2:$G$354,A42)</f>
        <v>0</v>
      </c>
    </row>
    <row r="43" customFormat="false" ht="15" hidden="false" customHeight="false" outlineLevel="0" collapsed="false">
      <c r="A43" s="15" t="s">
        <v>279</v>
      </c>
      <c r="B43" s="15" t="n">
        <f aca="false">COUNTIF(Interactions!$F$2:$F$354,A43)</f>
        <v>0</v>
      </c>
      <c r="C43" s="15" t="n">
        <f aca="false">COUNTIF(Interactions!$G$2:$G$354,A43)</f>
        <v>32</v>
      </c>
      <c r="D43" s="15" t="n">
        <f aca="false">COUNTIFS(Interactions!$F$2:$F$354,A43,Interactions!$G$2:$G$354,A43)</f>
        <v>0</v>
      </c>
    </row>
    <row r="44" customFormat="false" ht="15" hidden="false" customHeight="false" outlineLevel="0" collapsed="false">
      <c r="A44" s="15" t="s">
        <v>76</v>
      </c>
      <c r="B44" s="15" t="n">
        <f aca="false">COUNTIF(Interactions!$F$2:$F$354,A44)</f>
        <v>131</v>
      </c>
      <c r="C44" s="15" t="n">
        <f aca="false">COUNTIF(Interactions!$G$2:$G$354,A44)</f>
        <v>64</v>
      </c>
      <c r="D44" s="15" t="n">
        <f aca="false">COUNTIFS(Interactions!$F$2:$F$354,A44,Interactions!$G$2:$G$354,A44)</f>
        <v>12</v>
      </c>
    </row>
    <row r="45" customFormat="false" ht="15" hidden="false" customHeight="false" outlineLevel="0" collapsed="false">
      <c r="A45" s="15" t="s">
        <v>166</v>
      </c>
      <c r="B45" s="15" t="n">
        <f aca="false">COUNTIF(Interactions!$F$2:$F$354,A45)</f>
        <v>20</v>
      </c>
      <c r="C45" s="15" t="n">
        <f aca="false">COUNTIF(Interactions!$G$2:$G$354,A45)</f>
        <v>25</v>
      </c>
      <c r="D45" s="15" t="n">
        <f aca="false">COUNTIFS(Interactions!$F$2:$F$354,A45,Interactions!$G$2:$G$354,A45)</f>
        <v>9</v>
      </c>
    </row>
    <row r="46" customFormat="false" ht="15" hidden="false" customHeight="false" outlineLevel="0" collapsed="false">
      <c r="A46" s="15" t="s">
        <v>138</v>
      </c>
      <c r="B46" s="15" t="n">
        <f aca="false">COUNTIF(Interactions!$F$2:$F$354,A46)</f>
        <v>57</v>
      </c>
      <c r="C46" s="15" t="n">
        <f aca="false">COUNTIF(Interactions!$G$2:$G$354,A46)</f>
        <v>64</v>
      </c>
      <c r="D46" s="15" t="n">
        <f aca="false">COUNTIFS(Interactions!$F$2:$F$354,A46,Interactions!$G$2:$G$354,A46)</f>
        <v>31</v>
      </c>
    </row>
    <row r="47" customFormat="false" ht="15" hidden="false" customHeight="false" outlineLevel="0" collapsed="false">
      <c r="A47" s="15" t="s">
        <v>77</v>
      </c>
      <c r="B47" s="15" t="n">
        <f aca="false">COUNTIF(Interactions!$F$2:$F$354,A47)</f>
        <v>0</v>
      </c>
      <c r="C47" s="15" t="n">
        <f aca="false">COUNTIF(Interactions!$G$2:$G$354,A47)</f>
        <v>19</v>
      </c>
      <c r="D47" s="15" t="n">
        <f aca="false">COUNTIFS(Interactions!$F$2:$F$354,A47,Interactions!$G$2:$G$354,A47)</f>
        <v>0</v>
      </c>
    </row>
    <row r="48" customFormat="false" ht="15" hidden="false" customHeight="false" outlineLevel="0" collapsed="false">
      <c r="A48" s="15" t="s">
        <v>306</v>
      </c>
      <c r="B48" s="15" t="n">
        <f aca="false">COUNTIF(Interactions!$F$2:$F$354,A48)</f>
        <v>27</v>
      </c>
      <c r="C48" s="15" t="n">
        <f aca="false">COUNTIF(Interactions!$G$2:$G$354,A48)</f>
        <v>15</v>
      </c>
      <c r="D48" s="15" t="n">
        <f aca="false">COUNTIFS(Interactions!$F$2:$F$354,A48,Interactions!$G$2:$G$354,A48)</f>
        <v>15</v>
      </c>
    </row>
    <row r="49" customFormat="false" ht="15" hidden="false" customHeight="false" outlineLevel="0" collapsed="false">
      <c r="A49" s="15" t="s">
        <v>255</v>
      </c>
      <c r="B49" s="15" t="n">
        <f aca="false">COUNTIF(Interactions!$F$2:$F$354,A49)</f>
        <v>6</v>
      </c>
      <c r="C49" s="15" t="n">
        <f aca="false">COUNTIF(Interactions!$G$2:$G$354,A49)</f>
        <v>19</v>
      </c>
      <c r="D49" s="15" t="n">
        <f aca="false">COUNTIFS(Interactions!$F$2:$F$354,A49,Interactions!$G$2:$G$354,A49)</f>
        <v>5</v>
      </c>
    </row>
    <row r="50" customFormat="false" ht="15" hidden="false" customHeight="false" outlineLevel="0" collapsed="false">
      <c r="A50" s="15" t="s">
        <v>180</v>
      </c>
      <c r="B50" s="15" t="n">
        <f aca="false">COUNTIF(Interactions!$F$2:$F$354,A50)</f>
        <v>16</v>
      </c>
      <c r="C50" s="15" t="n">
        <f aca="false">COUNTIF(Interactions!$G$2:$G$354,A50)</f>
        <v>7</v>
      </c>
      <c r="D50" s="15" t="n">
        <f aca="false">COUNTIFS(Interactions!$F$2:$F$354,A50,Interactions!$G$2:$G$354,A50)</f>
        <v>0</v>
      </c>
    </row>
    <row r="51" customFormat="false" ht="15" hidden="false" customHeight="false" outlineLevel="0" collapsed="false">
      <c r="A51" s="15" t="s">
        <v>114</v>
      </c>
      <c r="B51" s="15" t="n">
        <f aca="false">COUNTIF(Interactions!$F$2:$F$354,A51)</f>
        <v>43</v>
      </c>
      <c r="C51" s="15" t="n">
        <f aca="false">COUNTIF(Interactions!$G$2:$G$354,A51)</f>
        <v>19</v>
      </c>
      <c r="D51" s="15" t="n">
        <f aca="false">COUNTIFS(Interactions!$F$2:$F$354,A51,Interactions!$G$2:$G$354,A51)</f>
        <v>9</v>
      </c>
    </row>
    <row r="52" customFormat="false" ht="15" hidden="false" customHeight="false" outlineLevel="0" collapsed="false">
      <c r="A52" s="15" t="s">
        <v>389</v>
      </c>
      <c r="B52" s="15" t="n">
        <f aca="false">COUNTIF(Interactions!$F$2:$F$354,A52)</f>
        <v>40</v>
      </c>
      <c r="C52" s="15" t="n">
        <f aca="false">COUNTIF(Interactions!$G$2:$G$354,A52)</f>
        <v>23</v>
      </c>
      <c r="D52" s="15" t="n">
        <f aca="false">COUNTIFS(Interactions!$F$2:$F$354,A52,Interactions!$G$2:$G$354,A52)</f>
        <v>17</v>
      </c>
    </row>
    <row r="53" customFormat="false" ht="15" hidden="false" customHeight="false" outlineLevel="0" collapsed="false">
      <c r="A53" s="15" t="s">
        <v>195</v>
      </c>
      <c r="B53" s="15" t="n">
        <f aca="false">COUNTIF(Interactions!$F$2:$F$354,A53)</f>
        <v>13</v>
      </c>
      <c r="C53" s="15" t="n">
        <f aca="false">COUNTIF(Interactions!$G$2:$G$354,A53)</f>
        <v>26</v>
      </c>
      <c r="D53" s="15" t="n">
        <f aca="false">COUNTIFS(Interactions!$F$2:$F$354,A53,Interactions!$G$2:$G$354,A53)</f>
        <v>1</v>
      </c>
    </row>
    <row r="54" customFormat="false" ht="15" hidden="false" customHeight="false" outlineLevel="0" collapsed="false">
      <c r="A54" s="13" t="s">
        <v>1440</v>
      </c>
    </row>
  </sheetData>
  <printOptions headings="false" gridLines="false" gridLinesSet="true" horizontalCentered="tru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tru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1"/>
    <col collapsed="false" customWidth="true" hidden="false" outlineLevel="0" max="4" min="4" style="0" width="6"/>
    <col collapsed="false" customWidth="true" hidden="false" outlineLevel="0" max="5" min="5" style="0" width="26"/>
    <col collapsed="false" customWidth="true" hidden="false" outlineLevel="0" max="6" min="6" style="0" width="22"/>
    <col collapsed="false" customWidth="true" hidden="false" outlineLevel="0" max="7" min="7" style="0" width="55"/>
    <col collapsed="false" customWidth="true" hidden="false" outlineLevel="0" max="8" min="8" style="0" width="38"/>
    <col collapsed="false" customWidth="true" hidden="false" outlineLevel="0" max="9" min="9" style="0" width="45"/>
    <col collapsed="false" customWidth="true" hidden="false" outlineLevel="0" max="11" min="10" style="0" width="16"/>
  </cols>
  <sheetData>
    <row r="1" customFormat="false" ht="19.7" hidden="false" customHeight="false" outlineLevel="0" collapsed="false">
      <c r="A1" s="12" t="s">
        <v>1441</v>
      </c>
    </row>
    <row r="2" customFormat="false" ht="30" hidden="false" customHeight="true" outlineLevel="0" collapsed="false">
      <c r="A2" s="21" t="s">
        <v>1442</v>
      </c>
      <c r="B2" s="21"/>
      <c r="C2" s="21"/>
      <c r="D2" s="21"/>
      <c r="E2" s="21"/>
      <c r="F2" s="21"/>
      <c r="G2" s="21"/>
      <c r="H2" s="21"/>
      <c r="I2" s="21"/>
    </row>
    <row r="4" customFormat="false" ht="35.05" hidden="false" customHeight="false" outlineLevel="0" collapsed="false">
      <c r="A4" s="7" t="s">
        <v>18</v>
      </c>
      <c r="B4" s="7" t="s">
        <v>60</v>
      </c>
      <c r="C4" s="7" t="s">
        <v>62</v>
      </c>
      <c r="D4" s="7" t="s">
        <v>63</v>
      </c>
      <c r="E4" s="7" t="s">
        <v>1443</v>
      </c>
      <c r="F4" s="7" t="s">
        <v>1444</v>
      </c>
      <c r="G4" s="7" t="s">
        <v>1445</v>
      </c>
      <c r="H4" s="7" t="s">
        <v>1446</v>
      </c>
      <c r="I4" s="7" t="s">
        <v>1447</v>
      </c>
      <c r="J4" s="7" t="s">
        <v>1448</v>
      </c>
      <c r="K4" s="7" t="s">
        <v>15</v>
      </c>
    </row>
    <row r="5" customFormat="false" ht="68.65" hidden="false" customHeight="false" outlineLevel="0" collapsed="false">
      <c r="A5" s="10" t="s">
        <v>72</v>
      </c>
      <c r="B5" s="10" t="s">
        <v>73</v>
      </c>
      <c r="C5" s="10" t="s">
        <v>75</v>
      </c>
      <c r="D5" s="22" t="n">
        <f aca="false">IF(INDEX(Interactions!$C:$C,MATCH(A5,Interactions!$A:$A,0))="inhibition",-1,1)</f>
        <v>1</v>
      </c>
      <c r="E5" s="10" t="s">
        <v>1449</v>
      </c>
      <c r="F5" s="10" t="s">
        <v>1450</v>
      </c>
      <c r="G5" s="10" t="s">
        <v>83</v>
      </c>
      <c r="H5" s="10" t="s">
        <v>1451</v>
      </c>
      <c r="I5" s="10" t="s">
        <v>1452</v>
      </c>
      <c r="J5" s="10" t="s">
        <v>1453</v>
      </c>
      <c r="K5" s="10" t="s">
        <v>87</v>
      </c>
    </row>
    <row r="6" customFormat="false" ht="46.25" hidden="false" customHeight="false" outlineLevel="0" collapsed="false">
      <c r="A6" s="10" t="s">
        <v>124</v>
      </c>
      <c r="B6" s="10" t="s">
        <v>125</v>
      </c>
      <c r="C6" s="10" t="s">
        <v>106</v>
      </c>
      <c r="D6" s="22" t="n">
        <f aca="false">IF(INDEX(Interactions!$C:$C,MATCH(A6,Interactions!$A:$A,0))="inhibition",-1,1)</f>
        <v>1</v>
      </c>
      <c r="E6" s="10" t="s">
        <v>1454</v>
      </c>
      <c r="F6" s="10" t="s">
        <v>1450</v>
      </c>
      <c r="G6" s="10" t="s">
        <v>129</v>
      </c>
      <c r="H6" s="10" t="s">
        <v>1455</v>
      </c>
      <c r="I6" s="10" t="s">
        <v>1456</v>
      </c>
      <c r="J6" s="10" t="s">
        <v>1453</v>
      </c>
      <c r="K6" s="10" t="s">
        <v>87</v>
      </c>
    </row>
    <row r="7" customFormat="false" ht="57.45" hidden="false" customHeight="false" outlineLevel="0" collapsed="false">
      <c r="A7" s="10" t="s">
        <v>150</v>
      </c>
      <c r="B7" s="10" t="s">
        <v>151</v>
      </c>
      <c r="C7" s="10" t="s">
        <v>137</v>
      </c>
      <c r="D7" s="22" t="n">
        <f aca="false">IF(INDEX(Interactions!$C:$C,MATCH(A7,Interactions!$A:$A,0))="inhibition",-1,1)</f>
        <v>-1</v>
      </c>
      <c r="E7" s="10" t="s">
        <v>1457</v>
      </c>
      <c r="F7" s="10" t="s">
        <v>1458</v>
      </c>
      <c r="G7" s="10" t="s">
        <v>152</v>
      </c>
      <c r="H7" s="10" t="s">
        <v>1459</v>
      </c>
      <c r="I7" s="10" t="s">
        <v>1460</v>
      </c>
      <c r="J7" s="10" t="s">
        <v>1461</v>
      </c>
      <c r="K7" s="10" t="s">
        <v>87</v>
      </c>
    </row>
    <row r="8" customFormat="false" ht="57.45" hidden="false" customHeight="false" outlineLevel="0" collapsed="false">
      <c r="A8" s="10" t="s">
        <v>160</v>
      </c>
      <c r="B8" s="10" t="s">
        <v>161</v>
      </c>
      <c r="C8" s="10" t="s">
        <v>157</v>
      </c>
      <c r="D8" s="22" t="n">
        <f aca="false">IF(INDEX(Interactions!$C:$C,MATCH(A8,Interactions!$A:$A,0))="inhibition",-1,1)</f>
        <v>-1</v>
      </c>
      <c r="E8" s="10" t="s">
        <v>1457</v>
      </c>
      <c r="F8" s="10" t="s">
        <v>1458</v>
      </c>
      <c r="G8" s="10" t="s">
        <v>152</v>
      </c>
      <c r="H8" s="10" t="s">
        <v>1462</v>
      </c>
      <c r="I8" s="10" t="s">
        <v>1463</v>
      </c>
      <c r="J8" s="10" t="s">
        <v>1461</v>
      </c>
      <c r="K8" s="10" t="s">
        <v>87</v>
      </c>
    </row>
    <row r="9" customFormat="false" ht="46.25" hidden="false" customHeight="false" outlineLevel="0" collapsed="false">
      <c r="A9" s="10" t="s">
        <v>163</v>
      </c>
      <c r="B9" s="10" t="s">
        <v>164</v>
      </c>
      <c r="C9" s="10" t="s">
        <v>165</v>
      </c>
      <c r="D9" s="22" t="n">
        <f aca="false">IF(INDEX(Interactions!$C:$C,MATCH(A9,Interactions!$A:$A,0))="inhibition",-1,1)</f>
        <v>1</v>
      </c>
      <c r="E9" s="10" t="s">
        <v>1464</v>
      </c>
      <c r="F9" s="10" t="s">
        <v>1465</v>
      </c>
      <c r="G9" s="10" t="s">
        <v>167</v>
      </c>
      <c r="H9" s="10" t="s">
        <v>1466</v>
      </c>
      <c r="I9" s="10" t="s">
        <v>1467</v>
      </c>
      <c r="J9" s="10" t="s">
        <v>1468</v>
      </c>
      <c r="K9" s="10" t="s">
        <v>87</v>
      </c>
    </row>
    <row r="10" customFormat="false" ht="57.45" hidden="false" customHeight="false" outlineLevel="0" collapsed="false">
      <c r="A10" s="10" t="s">
        <v>178</v>
      </c>
      <c r="B10" s="10" t="s">
        <v>179</v>
      </c>
      <c r="C10" s="10" t="s">
        <v>165</v>
      </c>
      <c r="D10" s="22" t="n">
        <f aca="false">IF(INDEX(Interactions!$C:$C,MATCH(A10,Interactions!$A:$A,0))="inhibition",-1,1)</f>
        <v>1</v>
      </c>
      <c r="E10" s="10" t="s">
        <v>1469</v>
      </c>
      <c r="F10" s="10" t="s">
        <v>1450</v>
      </c>
      <c r="G10" s="10" t="s">
        <v>183</v>
      </c>
      <c r="H10" s="10" t="s">
        <v>1470</v>
      </c>
      <c r="I10" s="10" t="s">
        <v>1471</v>
      </c>
      <c r="J10" s="10" t="s">
        <v>1453</v>
      </c>
      <c r="K10" s="10" t="s">
        <v>87</v>
      </c>
    </row>
    <row r="11" customFormat="false" ht="79.85" hidden="false" customHeight="false" outlineLevel="0" collapsed="false">
      <c r="A11" s="10" t="s">
        <v>212</v>
      </c>
      <c r="B11" s="10" t="s">
        <v>97</v>
      </c>
      <c r="C11" s="10" t="s">
        <v>201</v>
      </c>
      <c r="D11" s="22" t="n">
        <f aca="false">IF(INDEX(Interactions!$C:$C,MATCH(A11,Interactions!$A:$A,0))="inhibition",-1,1)</f>
        <v>-1</v>
      </c>
      <c r="E11" s="10" t="s">
        <v>1472</v>
      </c>
      <c r="F11" s="10" t="s">
        <v>214</v>
      </c>
      <c r="G11" s="10" t="s">
        <v>1473</v>
      </c>
      <c r="H11" s="10" t="s">
        <v>1474</v>
      </c>
      <c r="I11" s="10" t="s">
        <v>1475</v>
      </c>
      <c r="J11" s="10" t="s">
        <v>1476</v>
      </c>
      <c r="K11" s="10" t="s">
        <v>87</v>
      </c>
    </row>
    <row r="12" customFormat="false" ht="57.45" hidden="false" customHeight="false" outlineLevel="0" collapsed="false">
      <c r="A12" s="10" t="s">
        <v>313</v>
      </c>
      <c r="B12" s="10" t="s">
        <v>314</v>
      </c>
      <c r="C12" s="10" t="s">
        <v>315</v>
      </c>
      <c r="D12" s="22" t="n">
        <f aca="false">IF(INDEX(Interactions!$C:$C,MATCH(A12,Interactions!$A:$A,0))="inhibition",-1,1)</f>
        <v>1</v>
      </c>
      <c r="E12" s="10" t="s">
        <v>1477</v>
      </c>
      <c r="F12" s="10" t="s">
        <v>1450</v>
      </c>
      <c r="G12" s="10" t="s">
        <v>317</v>
      </c>
      <c r="H12" s="10" t="s">
        <v>1478</v>
      </c>
      <c r="I12" s="10" t="s">
        <v>1479</v>
      </c>
      <c r="J12" s="10" t="s">
        <v>1453</v>
      </c>
      <c r="K12" s="10" t="s">
        <v>87</v>
      </c>
    </row>
    <row r="13" customFormat="false" ht="46.25" hidden="false" customHeight="false" outlineLevel="0" collapsed="false">
      <c r="A13" s="10" t="s">
        <v>350</v>
      </c>
      <c r="B13" s="10" t="s">
        <v>351</v>
      </c>
      <c r="C13" s="10" t="s">
        <v>352</v>
      </c>
      <c r="D13" s="22" t="n">
        <f aca="false">IF(INDEX(Interactions!$C:$C,MATCH(A13,Interactions!$A:$A,0))="inhibition",-1,1)</f>
        <v>1</v>
      </c>
      <c r="E13" s="10" t="s">
        <v>1477</v>
      </c>
      <c r="F13" s="10" t="s">
        <v>1450</v>
      </c>
      <c r="G13" s="10" t="s">
        <v>354</v>
      </c>
      <c r="H13" s="10" t="s">
        <v>1480</v>
      </c>
      <c r="I13" s="10" t="s">
        <v>1481</v>
      </c>
      <c r="J13" s="10" t="s">
        <v>1453</v>
      </c>
      <c r="K13" s="10" t="s">
        <v>87</v>
      </c>
    </row>
    <row r="14" customFormat="false" ht="68.65" hidden="false" customHeight="false" outlineLevel="0" collapsed="false">
      <c r="A14" s="10" t="s">
        <v>431</v>
      </c>
      <c r="B14" s="10" t="s">
        <v>73</v>
      </c>
      <c r="C14" s="10" t="s">
        <v>432</v>
      </c>
      <c r="D14" s="22" t="n">
        <f aca="false">IF(INDEX(Interactions!$C:$C,MATCH(A14,Interactions!$A:$A,0))="inhibition",-1,1)</f>
        <v>1</v>
      </c>
      <c r="E14" s="10" t="s">
        <v>1449</v>
      </c>
      <c r="F14" s="10" t="s">
        <v>1450</v>
      </c>
      <c r="G14" s="10" t="s">
        <v>83</v>
      </c>
      <c r="H14" s="10" t="s">
        <v>1482</v>
      </c>
      <c r="I14" s="10" t="s">
        <v>1483</v>
      </c>
      <c r="J14" s="10" t="s">
        <v>1453</v>
      </c>
      <c r="K14" s="10" t="s">
        <v>87</v>
      </c>
    </row>
    <row r="15" customFormat="false" ht="57.45" hidden="false" customHeight="false" outlineLevel="0" collapsed="false">
      <c r="A15" s="10" t="s">
        <v>497</v>
      </c>
      <c r="B15" s="10" t="s">
        <v>179</v>
      </c>
      <c r="C15" s="10" t="s">
        <v>493</v>
      </c>
      <c r="D15" s="22" t="n">
        <f aca="false">IF(INDEX(Interactions!$C:$C,MATCH(A15,Interactions!$A:$A,0))="inhibition",-1,1)</f>
        <v>1</v>
      </c>
      <c r="E15" s="10" t="s">
        <v>1484</v>
      </c>
      <c r="F15" s="10" t="s">
        <v>1485</v>
      </c>
      <c r="G15" s="10" t="s">
        <v>500</v>
      </c>
      <c r="H15" s="10" t="s">
        <v>1486</v>
      </c>
      <c r="I15" s="10" t="s">
        <v>1487</v>
      </c>
      <c r="J15" s="10" t="s">
        <v>1488</v>
      </c>
      <c r="K15" s="10" t="s">
        <v>87</v>
      </c>
    </row>
    <row r="16" customFormat="false" ht="46.25" hidden="false" customHeight="false" outlineLevel="0" collapsed="false">
      <c r="A16" s="10" t="s">
        <v>510</v>
      </c>
      <c r="B16" s="10" t="s">
        <v>511</v>
      </c>
      <c r="C16" s="10" t="s">
        <v>505</v>
      </c>
      <c r="D16" s="22" t="n">
        <f aca="false">IF(INDEX(Interactions!$C:$C,MATCH(A16,Interactions!$A:$A,0))="inhibition",-1,1)</f>
        <v>1</v>
      </c>
      <c r="E16" s="10" t="s">
        <v>1484</v>
      </c>
      <c r="F16" s="10" t="s">
        <v>512</v>
      </c>
      <c r="G16" s="10" t="s">
        <v>514</v>
      </c>
      <c r="H16" s="10" t="s">
        <v>1489</v>
      </c>
      <c r="I16" s="10" t="s">
        <v>1490</v>
      </c>
      <c r="J16" s="10" t="s">
        <v>1488</v>
      </c>
      <c r="K16" s="10" t="s">
        <v>87</v>
      </c>
    </row>
    <row r="17" customFormat="false" ht="57.45" hidden="false" customHeight="false" outlineLevel="0" collapsed="false">
      <c r="A17" s="10" t="s">
        <v>653</v>
      </c>
      <c r="B17" s="10" t="s">
        <v>125</v>
      </c>
      <c r="C17" s="10" t="s">
        <v>73</v>
      </c>
      <c r="D17" s="22" t="n">
        <f aca="false">IF(INDEX(Interactions!$C:$C,MATCH(A17,Interactions!$A:$A,0))="inhibition",-1,1)</f>
        <v>1</v>
      </c>
      <c r="E17" s="10" t="s">
        <v>1477</v>
      </c>
      <c r="F17" s="10" t="s">
        <v>1450</v>
      </c>
      <c r="G17" s="10" t="s">
        <v>655</v>
      </c>
      <c r="H17" s="10" t="s">
        <v>1491</v>
      </c>
      <c r="I17" s="10" t="s">
        <v>1492</v>
      </c>
      <c r="J17" s="10" t="s">
        <v>1453</v>
      </c>
      <c r="K17" s="10" t="s">
        <v>87</v>
      </c>
    </row>
    <row r="18" customFormat="false" ht="57.45" hidden="false" customHeight="false" outlineLevel="0" collapsed="false">
      <c r="A18" s="10" t="s">
        <v>672</v>
      </c>
      <c r="B18" s="10" t="s">
        <v>673</v>
      </c>
      <c r="C18" s="10" t="s">
        <v>105</v>
      </c>
      <c r="D18" s="22" t="n">
        <f aca="false">IF(INDEX(Interactions!$C:$C,MATCH(A18,Interactions!$A:$A,0))="inhibition",-1,1)</f>
        <v>-1</v>
      </c>
      <c r="E18" s="10" t="s">
        <v>1477</v>
      </c>
      <c r="F18" s="10" t="s">
        <v>1450</v>
      </c>
      <c r="G18" s="10" t="s">
        <v>676</v>
      </c>
      <c r="H18" s="10" t="s">
        <v>1493</v>
      </c>
      <c r="I18" s="10" t="s">
        <v>1494</v>
      </c>
      <c r="J18" s="10" t="s">
        <v>1453</v>
      </c>
      <c r="K18" s="10" t="s">
        <v>87</v>
      </c>
    </row>
    <row r="19" customFormat="false" ht="46.25" hidden="false" customHeight="false" outlineLevel="0" collapsed="false">
      <c r="A19" s="10" t="s">
        <v>725</v>
      </c>
      <c r="B19" s="10" t="s">
        <v>726</v>
      </c>
      <c r="C19" s="10" t="s">
        <v>727</v>
      </c>
      <c r="D19" s="22" t="n">
        <f aca="false">IF(INDEX(Interactions!$C:$C,MATCH(A19,Interactions!$A:$A,0))="inhibition",-1,1)</f>
        <v>1</v>
      </c>
      <c r="E19" s="10" t="s">
        <v>1495</v>
      </c>
      <c r="F19" s="10" t="s">
        <v>1496</v>
      </c>
      <c r="G19" s="10" t="s">
        <v>729</v>
      </c>
      <c r="H19" s="10" t="s">
        <v>1497</v>
      </c>
      <c r="I19" s="10" t="s">
        <v>1498</v>
      </c>
      <c r="J19" s="10" t="s">
        <v>1453</v>
      </c>
      <c r="K19" s="10" t="s">
        <v>87</v>
      </c>
    </row>
    <row r="20" customFormat="false" ht="46.25" hidden="false" customHeight="false" outlineLevel="0" collapsed="false">
      <c r="A20" s="10" t="s">
        <v>767</v>
      </c>
      <c r="B20" s="10" t="s">
        <v>179</v>
      </c>
      <c r="C20" s="10" t="s">
        <v>314</v>
      </c>
      <c r="D20" s="22" t="n">
        <f aca="false">IF(INDEX(Interactions!$C:$C,MATCH(A20,Interactions!$A:$A,0))="inhibition",-1,1)</f>
        <v>1</v>
      </c>
      <c r="E20" s="10" t="s">
        <v>1499</v>
      </c>
      <c r="F20" s="10" t="s">
        <v>1500</v>
      </c>
      <c r="G20" s="10" t="s">
        <v>768</v>
      </c>
      <c r="H20" s="10" t="s">
        <v>1501</v>
      </c>
      <c r="I20" s="10" t="s">
        <v>1467</v>
      </c>
      <c r="J20" s="10" t="s">
        <v>1468</v>
      </c>
      <c r="K20" s="10" t="s">
        <v>87</v>
      </c>
    </row>
    <row r="21" customFormat="false" ht="113.4" hidden="false" customHeight="false" outlineLevel="0" collapsed="false">
      <c r="A21" s="10" t="s">
        <v>809</v>
      </c>
      <c r="B21" s="10" t="s">
        <v>810</v>
      </c>
      <c r="C21" s="10" t="s">
        <v>811</v>
      </c>
      <c r="D21" s="22" t="n">
        <f aca="false">IF(INDEX(Interactions!$C:$C,MATCH(A21,Interactions!$A:$A,0))="inhibition",-1,1)</f>
        <v>1</v>
      </c>
      <c r="E21" s="10" t="s">
        <v>1502</v>
      </c>
      <c r="F21" s="10" t="s">
        <v>1503</v>
      </c>
      <c r="G21" s="10" t="s">
        <v>812</v>
      </c>
      <c r="H21" s="10" t="s">
        <v>1504</v>
      </c>
      <c r="I21" s="10" t="s">
        <v>1505</v>
      </c>
      <c r="J21" s="10" t="s">
        <v>1461</v>
      </c>
      <c r="K21" s="10" t="s">
        <v>87</v>
      </c>
    </row>
    <row r="22" customFormat="false" ht="57.45" hidden="false" customHeight="false" outlineLevel="0" collapsed="false">
      <c r="A22" s="10" t="s">
        <v>955</v>
      </c>
      <c r="B22" s="10" t="s">
        <v>179</v>
      </c>
      <c r="C22" s="10" t="s">
        <v>125</v>
      </c>
      <c r="D22" s="22" t="n">
        <f aca="false">IF(INDEX(Interactions!$C:$C,MATCH(A22,Interactions!$A:$A,0))="inhibition",-1,1)</f>
        <v>1</v>
      </c>
      <c r="E22" s="10" t="s">
        <v>1449</v>
      </c>
      <c r="F22" s="10" t="s">
        <v>1450</v>
      </c>
      <c r="G22" s="10" t="s">
        <v>956</v>
      </c>
      <c r="H22" s="10" t="s">
        <v>1506</v>
      </c>
      <c r="I22" s="10" t="s">
        <v>1507</v>
      </c>
      <c r="J22" s="10" t="s">
        <v>1453</v>
      </c>
      <c r="K22" s="10" t="s">
        <v>87</v>
      </c>
    </row>
    <row r="23" customFormat="false" ht="57.45" hidden="false" customHeight="false" outlineLevel="0" collapsed="false">
      <c r="A23" s="10" t="s">
        <v>1002</v>
      </c>
      <c r="B23" s="10" t="s">
        <v>726</v>
      </c>
      <c r="C23" s="10" t="s">
        <v>322</v>
      </c>
      <c r="D23" s="22" t="n">
        <f aca="false">IF(INDEX(Interactions!$C:$C,MATCH(A23,Interactions!$A:$A,0))="inhibition",-1,1)</f>
        <v>-1</v>
      </c>
      <c r="E23" s="10" t="s">
        <v>1508</v>
      </c>
      <c r="F23" s="10" t="s">
        <v>1509</v>
      </c>
      <c r="G23" s="10" t="s">
        <v>1005</v>
      </c>
      <c r="H23" s="10" t="s">
        <v>1510</v>
      </c>
      <c r="I23" s="10" t="s">
        <v>1511</v>
      </c>
      <c r="J23" s="10" t="s">
        <v>1453</v>
      </c>
      <c r="K23" s="10" t="s">
        <v>87</v>
      </c>
    </row>
    <row r="24" customFormat="false" ht="46.25" hidden="false" customHeight="false" outlineLevel="0" collapsed="false">
      <c r="A24" s="10" t="s">
        <v>1012</v>
      </c>
      <c r="B24" s="10" t="s">
        <v>1013</v>
      </c>
      <c r="C24" s="10" t="s">
        <v>161</v>
      </c>
      <c r="D24" s="22" t="n">
        <f aca="false">IF(INDEX(Interactions!$C:$C,MATCH(A24,Interactions!$A:$A,0))="inhibition",-1,1)</f>
        <v>-1</v>
      </c>
      <c r="E24" s="10" t="s">
        <v>1512</v>
      </c>
      <c r="F24" s="10" t="s">
        <v>1513</v>
      </c>
      <c r="G24" s="10" t="s">
        <v>1016</v>
      </c>
      <c r="H24" s="10" t="s">
        <v>1514</v>
      </c>
      <c r="I24" s="10" t="s">
        <v>1515</v>
      </c>
      <c r="J24" s="10" t="s">
        <v>1453</v>
      </c>
      <c r="K24" s="10" t="s">
        <v>87</v>
      </c>
    </row>
    <row r="25" customFormat="false" ht="46.25" hidden="false" customHeight="false" outlineLevel="0" collapsed="false">
      <c r="A25" s="10" t="s">
        <v>1061</v>
      </c>
      <c r="B25" s="10" t="s">
        <v>964</v>
      </c>
      <c r="C25" s="10" t="s">
        <v>903</v>
      </c>
      <c r="D25" s="22" t="n">
        <f aca="false">IF(INDEX(Interactions!$C:$C,MATCH(A25,Interactions!$A:$A,0))="inhibition",-1,1)</f>
        <v>1</v>
      </c>
      <c r="E25" s="10" t="s">
        <v>1469</v>
      </c>
      <c r="F25" s="10" t="s">
        <v>1450</v>
      </c>
      <c r="G25" s="10" t="s">
        <v>1063</v>
      </c>
      <c r="H25" s="10" t="s">
        <v>1516</v>
      </c>
      <c r="I25" s="10" t="s">
        <v>1517</v>
      </c>
      <c r="J25" s="10" t="s">
        <v>1453</v>
      </c>
      <c r="K25" s="10" t="s">
        <v>87</v>
      </c>
    </row>
    <row r="26" customFormat="false" ht="46.25" hidden="false" customHeight="false" outlineLevel="0" collapsed="false">
      <c r="A26" s="10" t="s">
        <v>1067</v>
      </c>
      <c r="B26" s="10" t="s">
        <v>969</v>
      </c>
      <c r="C26" s="10" t="s">
        <v>903</v>
      </c>
      <c r="D26" s="22" t="n">
        <f aca="false">IF(INDEX(Interactions!$C:$C,MATCH(A26,Interactions!$A:$A,0))="inhibition",-1,1)</f>
        <v>1</v>
      </c>
      <c r="E26" s="10" t="s">
        <v>1469</v>
      </c>
      <c r="F26" s="10" t="s">
        <v>1450</v>
      </c>
      <c r="G26" s="10" t="s">
        <v>1063</v>
      </c>
      <c r="H26" s="10" t="s">
        <v>1518</v>
      </c>
      <c r="I26" s="10" t="s">
        <v>1519</v>
      </c>
      <c r="J26" s="10" t="s">
        <v>1453</v>
      </c>
      <c r="K26" s="10" t="s">
        <v>87</v>
      </c>
    </row>
    <row r="27" customFormat="false" ht="57.45" hidden="false" customHeight="false" outlineLevel="0" collapsed="false">
      <c r="A27" s="10" t="s">
        <v>1091</v>
      </c>
      <c r="B27" s="10" t="s">
        <v>89</v>
      </c>
      <c r="C27" s="10" t="s">
        <v>1013</v>
      </c>
      <c r="D27" s="22" t="n">
        <f aca="false">IF(INDEX(Interactions!$C:$C,MATCH(A27,Interactions!$A:$A,0))="inhibition",-1,1)</f>
        <v>1</v>
      </c>
      <c r="E27" s="10" t="s">
        <v>1469</v>
      </c>
      <c r="F27" s="10" t="s">
        <v>1450</v>
      </c>
      <c r="G27" s="10" t="s">
        <v>1093</v>
      </c>
      <c r="H27" s="10" t="s">
        <v>1520</v>
      </c>
      <c r="I27" s="10" t="s">
        <v>1521</v>
      </c>
      <c r="J27" s="10" t="s">
        <v>1453</v>
      </c>
      <c r="K27" s="10" t="s">
        <v>87</v>
      </c>
    </row>
    <row r="28" customFormat="false" ht="57.45" hidden="false" customHeight="false" outlineLevel="0" collapsed="false">
      <c r="A28" s="10" t="s">
        <v>1105</v>
      </c>
      <c r="B28" s="10" t="s">
        <v>1034</v>
      </c>
      <c r="C28" s="10" t="s">
        <v>969</v>
      </c>
      <c r="D28" s="22" t="n">
        <f aca="false">IF(INDEX(Interactions!$C:$C,MATCH(A28,Interactions!$A:$A,0))="inhibition",-1,1)</f>
        <v>-1</v>
      </c>
      <c r="E28" s="10" t="s">
        <v>1472</v>
      </c>
      <c r="F28" s="10" t="s">
        <v>1106</v>
      </c>
      <c r="G28" s="10" t="s">
        <v>1522</v>
      </c>
      <c r="H28" s="10" t="s">
        <v>1523</v>
      </c>
      <c r="I28" s="10" t="s">
        <v>1475</v>
      </c>
      <c r="J28" s="10" t="s">
        <v>1476</v>
      </c>
      <c r="K28" s="10" t="s">
        <v>87</v>
      </c>
    </row>
    <row r="29" customFormat="false" ht="57.45" hidden="false" customHeight="false" outlineLevel="0" collapsed="false">
      <c r="A29" s="10" t="s">
        <v>1112</v>
      </c>
      <c r="B29" s="10" t="s">
        <v>1113</v>
      </c>
      <c r="C29" s="10" t="s">
        <v>964</v>
      </c>
      <c r="D29" s="22" t="n">
        <f aca="false">IF(INDEX(Interactions!$C:$C,MATCH(A29,Interactions!$A:$A,0))="inhibition",-1,1)</f>
        <v>-1</v>
      </c>
      <c r="E29" s="10" t="s">
        <v>1472</v>
      </c>
      <c r="F29" s="10" t="s">
        <v>1106</v>
      </c>
      <c r="G29" s="10" t="s">
        <v>1522</v>
      </c>
      <c r="H29" s="10" t="s">
        <v>1524</v>
      </c>
      <c r="I29" s="10" t="s">
        <v>1475</v>
      </c>
      <c r="J29" s="10" t="s">
        <v>1476</v>
      </c>
      <c r="K29" s="10" t="s">
        <v>87</v>
      </c>
    </row>
    <row r="30" customFormat="false" ht="68.65" hidden="false" customHeight="false" outlineLevel="0" collapsed="false">
      <c r="A30" s="10" t="s">
        <v>1147</v>
      </c>
      <c r="B30" s="10" t="s">
        <v>493</v>
      </c>
      <c r="C30" s="10" t="s">
        <v>179</v>
      </c>
      <c r="D30" s="22" t="n">
        <f aca="false">IF(INDEX(Interactions!$C:$C,MATCH(A30,Interactions!$A:$A,0))="inhibition",-1,1)</f>
        <v>1</v>
      </c>
      <c r="E30" s="10" t="s">
        <v>1449</v>
      </c>
      <c r="F30" s="10" t="s">
        <v>1450</v>
      </c>
      <c r="G30" s="10" t="s">
        <v>1149</v>
      </c>
      <c r="H30" s="10" t="s">
        <v>1525</v>
      </c>
      <c r="I30" s="10" t="s">
        <v>1526</v>
      </c>
      <c r="J30" s="10" t="s">
        <v>1453</v>
      </c>
      <c r="K30" s="10" t="s">
        <v>87</v>
      </c>
    </row>
    <row r="31" customFormat="false" ht="68.65" hidden="false" customHeight="false" outlineLevel="0" collapsed="false">
      <c r="A31" s="10" t="s">
        <v>1157</v>
      </c>
      <c r="B31" s="10" t="s">
        <v>1158</v>
      </c>
      <c r="C31" s="10" t="s">
        <v>179</v>
      </c>
      <c r="D31" s="22" t="n">
        <f aca="false">IF(INDEX(Interactions!$C:$C,MATCH(A31,Interactions!$A:$A,0))="inhibition",-1,1)</f>
        <v>-1</v>
      </c>
      <c r="E31" s="10" t="s">
        <v>1449</v>
      </c>
      <c r="F31" s="10" t="s">
        <v>1450</v>
      </c>
      <c r="G31" s="10" t="s">
        <v>1161</v>
      </c>
      <c r="H31" s="10" t="s">
        <v>1527</v>
      </c>
      <c r="I31" s="10" t="s">
        <v>1528</v>
      </c>
      <c r="J31" s="10" t="s">
        <v>1453</v>
      </c>
      <c r="K31" s="10" t="s">
        <v>87</v>
      </c>
    </row>
    <row r="32" customFormat="false" ht="68.65" hidden="false" customHeight="false" outlineLevel="0" collapsed="false">
      <c r="A32" s="10" t="s">
        <v>1248</v>
      </c>
      <c r="B32" s="10" t="s">
        <v>351</v>
      </c>
      <c r="C32" s="10" t="s">
        <v>1249</v>
      </c>
      <c r="D32" s="22" t="n">
        <f aca="false">IF(INDEX(Interactions!$C:$C,MATCH(A32,Interactions!$A:$A,0))="inhibition",-1,1)</f>
        <v>1</v>
      </c>
      <c r="E32" s="10" t="s">
        <v>1529</v>
      </c>
      <c r="F32" s="10" t="s">
        <v>1530</v>
      </c>
      <c r="G32" s="10" t="s">
        <v>1250</v>
      </c>
      <c r="H32" s="10" t="s">
        <v>1531</v>
      </c>
      <c r="I32" s="10" t="s">
        <v>1467</v>
      </c>
      <c r="J32" s="10" t="s">
        <v>1532</v>
      </c>
      <c r="K32" s="10" t="s">
        <v>87</v>
      </c>
    </row>
    <row r="33" customFormat="false" ht="46.25" hidden="false" customHeight="false" outlineLevel="0" collapsed="false">
      <c r="A33" s="10" t="s">
        <v>1260</v>
      </c>
      <c r="B33" s="10" t="s">
        <v>201</v>
      </c>
      <c r="C33" s="10" t="s">
        <v>1249</v>
      </c>
      <c r="D33" s="22" t="n">
        <f aca="false">IF(INDEX(Interactions!$C:$C,MATCH(A33,Interactions!$A:$A,0))="inhibition",-1,1)</f>
        <v>-1</v>
      </c>
      <c r="E33" s="10" t="s">
        <v>1529</v>
      </c>
      <c r="F33" s="10" t="s">
        <v>1533</v>
      </c>
      <c r="G33" s="10" t="s">
        <v>1261</v>
      </c>
      <c r="H33" s="10" t="s">
        <v>1534</v>
      </c>
      <c r="I33" s="10" t="s">
        <v>1467</v>
      </c>
      <c r="J33" s="10" t="s">
        <v>1532</v>
      </c>
      <c r="K33" s="10" t="s">
        <v>87</v>
      </c>
    </row>
    <row r="34" customFormat="false" ht="46.25" hidden="false" customHeight="false" outlineLevel="0" collapsed="false">
      <c r="A34" s="10" t="s">
        <v>1343</v>
      </c>
      <c r="B34" s="10" t="s">
        <v>726</v>
      </c>
      <c r="C34" s="10" t="s">
        <v>544</v>
      </c>
      <c r="D34" s="22" t="n">
        <f aca="false">IF(INDEX(Interactions!$C:$C,MATCH(A34,Interactions!$A:$A,0))="inhibition",-1,1)</f>
        <v>-1</v>
      </c>
      <c r="E34" s="10" t="s">
        <v>1535</v>
      </c>
      <c r="F34" s="10" t="s">
        <v>1536</v>
      </c>
      <c r="G34" s="10" t="s">
        <v>1344</v>
      </c>
      <c r="H34" s="10" t="s">
        <v>1537</v>
      </c>
      <c r="I34" s="10" t="s">
        <v>1467</v>
      </c>
      <c r="J34" s="10" t="s">
        <v>1468</v>
      </c>
      <c r="K34" s="10" t="s">
        <v>87</v>
      </c>
    </row>
    <row r="35" customFormat="false" ht="46.25" hidden="false" customHeight="false" outlineLevel="0" collapsed="false">
      <c r="A35" s="10" t="s">
        <v>1354</v>
      </c>
      <c r="B35" s="10" t="s">
        <v>726</v>
      </c>
      <c r="C35" s="10" t="s">
        <v>532</v>
      </c>
      <c r="D35" s="22" t="n">
        <f aca="false">IF(INDEX(Interactions!$C:$C,MATCH(A35,Interactions!$A:$A,0))="inhibition",-1,1)</f>
        <v>-1</v>
      </c>
      <c r="E35" s="10" t="s">
        <v>1535</v>
      </c>
      <c r="F35" s="10" t="s">
        <v>1536</v>
      </c>
      <c r="G35" s="10" t="s">
        <v>1344</v>
      </c>
      <c r="H35" s="10" t="s">
        <v>1538</v>
      </c>
      <c r="I35" s="10" t="s">
        <v>1467</v>
      </c>
      <c r="J35" s="10" t="s">
        <v>1468</v>
      </c>
      <c r="K35" s="10" t="s">
        <v>87</v>
      </c>
    </row>
    <row r="36" customFormat="false" ht="46.25" hidden="false" customHeight="false" outlineLevel="0" collapsed="false">
      <c r="A36" s="10" t="s">
        <v>1361</v>
      </c>
      <c r="B36" s="10" t="s">
        <v>726</v>
      </c>
      <c r="C36" s="10" t="s">
        <v>536</v>
      </c>
      <c r="D36" s="22" t="n">
        <f aca="false">IF(INDEX(Interactions!$C:$C,MATCH(A36,Interactions!$A:$A,0))="inhibition",-1,1)</f>
        <v>-1</v>
      </c>
      <c r="E36" s="10" t="s">
        <v>1529</v>
      </c>
      <c r="F36" s="10" t="s">
        <v>1539</v>
      </c>
      <c r="G36" s="10" t="s">
        <v>1362</v>
      </c>
      <c r="H36" s="10" t="s">
        <v>1540</v>
      </c>
      <c r="I36" s="10" t="s">
        <v>1467</v>
      </c>
      <c r="J36" s="10" t="s">
        <v>1532</v>
      </c>
      <c r="K36" s="10" t="s">
        <v>87</v>
      </c>
    </row>
    <row r="37" customFormat="false" ht="46.25" hidden="false" customHeight="false" outlineLevel="0" collapsed="false">
      <c r="A37" s="10" t="s">
        <v>1370</v>
      </c>
      <c r="B37" s="10" t="s">
        <v>726</v>
      </c>
      <c r="C37" s="10" t="s">
        <v>546</v>
      </c>
      <c r="D37" s="22" t="n">
        <f aca="false">IF(INDEX(Interactions!$C:$C,MATCH(A37,Interactions!$A:$A,0))="inhibition",-1,1)</f>
        <v>-1</v>
      </c>
      <c r="E37" s="10" t="s">
        <v>1472</v>
      </c>
      <c r="F37" s="10" t="s">
        <v>1372</v>
      </c>
      <c r="G37" s="10" t="s">
        <v>1541</v>
      </c>
      <c r="H37" s="10" t="s">
        <v>1542</v>
      </c>
      <c r="I37" s="10" t="s">
        <v>1475</v>
      </c>
      <c r="J37" s="10" t="s">
        <v>1476</v>
      </c>
      <c r="K37" s="10" t="s">
        <v>87</v>
      </c>
    </row>
    <row r="38" customFormat="false" ht="57.45" hidden="false" customHeight="false" outlineLevel="0" collapsed="false">
      <c r="A38" s="10" t="s">
        <v>1392</v>
      </c>
      <c r="B38" s="10" t="s">
        <v>179</v>
      </c>
      <c r="C38" s="10" t="s">
        <v>1181</v>
      </c>
      <c r="D38" s="22" t="n">
        <f aca="false">IF(INDEX(Interactions!$C:$C,MATCH(A38,Interactions!$A:$A,0))="inhibition",-1,1)</f>
        <v>-1</v>
      </c>
      <c r="E38" s="10" t="s">
        <v>1543</v>
      </c>
      <c r="F38" s="10" t="s">
        <v>1393</v>
      </c>
      <c r="G38" s="10" t="s">
        <v>1394</v>
      </c>
      <c r="H38" s="10" t="s">
        <v>1544</v>
      </c>
      <c r="I38" s="10" t="s">
        <v>1545</v>
      </c>
      <c r="J38" s="10" t="s">
        <v>1488</v>
      </c>
      <c r="K38" s="10" t="s">
        <v>87</v>
      </c>
    </row>
    <row r="39" customFormat="false" ht="35.05" hidden="false" customHeight="false" outlineLevel="0" collapsed="false">
      <c r="A39" s="10" t="s">
        <v>1405</v>
      </c>
      <c r="B39" s="10" t="s">
        <v>726</v>
      </c>
      <c r="C39" s="10" t="s">
        <v>542</v>
      </c>
      <c r="D39" s="22" t="n">
        <f aca="false">IF(INDEX(Interactions!$C:$C,MATCH(A39,Interactions!$A:$A,0))="inhibition",-1,1)</f>
        <v>-1</v>
      </c>
      <c r="E39" s="10" t="s">
        <v>1546</v>
      </c>
      <c r="F39" s="10" t="s">
        <v>1547</v>
      </c>
      <c r="G39" s="10" t="s">
        <v>1406</v>
      </c>
      <c r="H39" s="10" t="s">
        <v>1548</v>
      </c>
      <c r="I39" s="10" t="s">
        <v>1467</v>
      </c>
      <c r="J39" s="10" t="s">
        <v>1532</v>
      </c>
      <c r="K39" s="10" t="s">
        <v>87</v>
      </c>
    </row>
    <row r="40" customFormat="false" ht="35.05" hidden="false" customHeight="false" outlineLevel="0" collapsed="false">
      <c r="A40" s="10" t="s">
        <v>1411</v>
      </c>
      <c r="B40" s="10" t="s">
        <v>726</v>
      </c>
      <c r="C40" s="10" t="s">
        <v>526</v>
      </c>
      <c r="D40" s="22" t="n">
        <f aca="false">IF(INDEX(Interactions!$C:$C,MATCH(A40,Interactions!$A:$A,0))="inhibition",-1,1)</f>
        <v>-1</v>
      </c>
      <c r="E40" s="10" t="s">
        <v>1546</v>
      </c>
      <c r="F40" s="10" t="s">
        <v>1547</v>
      </c>
      <c r="G40" s="10" t="s">
        <v>1406</v>
      </c>
      <c r="H40" s="10" t="s">
        <v>1549</v>
      </c>
      <c r="I40" s="10" t="s">
        <v>1467</v>
      </c>
      <c r="J40" s="10" t="s">
        <v>1532</v>
      </c>
      <c r="K40" s="10" t="s">
        <v>87</v>
      </c>
    </row>
    <row r="41" customFormat="false" ht="57.45" hidden="false" customHeight="false" outlineLevel="0" collapsed="false">
      <c r="A41" s="10" t="s">
        <v>1413</v>
      </c>
      <c r="B41" s="10" t="s">
        <v>179</v>
      </c>
      <c r="C41" s="10" t="s">
        <v>1414</v>
      </c>
      <c r="D41" s="22" t="n">
        <f aca="false">IF(INDEX(Interactions!$C:$C,MATCH(A41,Interactions!$A:$A,0))="inhibition",-1,1)</f>
        <v>1</v>
      </c>
      <c r="E41" s="10" t="s">
        <v>1449</v>
      </c>
      <c r="F41" s="10" t="s">
        <v>1450</v>
      </c>
      <c r="G41" s="10" t="s">
        <v>1416</v>
      </c>
      <c r="H41" s="10" t="s">
        <v>1550</v>
      </c>
      <c r="I41" s="10" t="s">
        <v>1551</v>
      </c>
      <c r="J41" s="10" t="s">
        <v>1453</v>
      </c>
      <c r="K41" s="10" t="s">
        <v>87</v>
      </c>
    </row>
  </sheetData>
  <autoFilter ref="A4:K41"/>
  <mergeCells count="1">
    <mergeCell ref="A2:I2"/>
  </mergeCells>
  <printOptions headings="false" gridLines="false" gridLinesSet="true" horizontalCentered="tru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504D"/>
    <pageSetUpPr fitToPage="true"/>
  </sheetPr>
  <dimension ref="A1:E2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70"/>
    <col collapsed="false" customWidth="true" hidden="false" outlineLevel="0" max="3" min="3" style="0" width="7"/>
    <col collapsed="false" customWidth="true" hidden="false" outlineLevel="0" max="4" min="4" style="0" width="10"/>
    <col collapsed="false" customWidth="true" hidden="false" outlineLevel="0" max="5" min="5" style="0" width="40"/>
  </cols>
  <sheetData>
    <row r="1" customFormat="false" ht="19.7" hidden="false" customHeight="false" outlineLevel="0" collapsed="false">
      <c r="A1" s="12" t="s">
        <v>1552</v>
      </c>
    </row>
    <row r="2" customFormat="false" ht="42" hidden="false" customHeight="true" outlineLevel="0" collapsed="false">
      <c r="A2" s="21" t="s">
        <v>1553</v>
      </c>
      <c r="B2" s="21"/>
      <c r="C2" s="21"/>
      <c r="D2" s="21"/>
      <c r="E2" s="21"/>
    </row>
    <row r="4" customFormat="false" ht="15" hidden="false" customHeight="false" outlineLevel="0" collapsed="false">
      <c r="A4" s="17" t="s">
        <v>1554</v>
      </c>
      <c r="B4" s="17" t="s">
        <v>1555</v>
      </c>
      <c r="C4" s="17" t="s">
        <v>1556</v>
      </c>
      <c r="D4" s="17" t="s">
        <v>1557</v>
      </c>
      <c r="E4" s="17" t="s">
        <v>1558</v>
      </c>
    </row>
    <row r="5" customFormat="false" ht="23.85" hidden="false" customHeight="false" outlineLevel="0" collapsed="false">
      <c r="A5" s="23" t="s">
        <v>210</v>
      </c>
      <c r="B5" s="10" t="s">
        <v>1559</v>
      </c>
      <c r="C5" s="10" t="n">
        <v>2001</v>
      </c>
      <c r="D5" s="10" t="s">
        <v>1453</v>
      </c>
      <c r="E5" s="10" t="s">
        <v>1560</v>
      </c>
    </row>
    <row r="6" customFormat="false" ht="35.05" hidden="false" customHeight="false" outlineLevel="0" collapsed="false">
      <c r="A6" s="23" t="s">
        <v>847</v>
      </c>
      <c r="B6" s="10" t="s">
        <v>1561</v>
      </c>
      <c r="C6" s="10" t="n">
        <v>2001</v>
      </c>
      <c r="D6" s="10" t="s">
        <v>1453</v>
      </c>
      <c r="E6" s="10" t="s">
        <v>1560</v>
      </c>
    </row>
    <row r="7" customFormat="false" ht="23.85" hidden="false" customHeight="false" outlineLevel="0" collapsed="false">
      <c r="A7" s="23" t="s">
        <v>1162</v>
      </c>
      <c r="B7" s="10" t="s">
        <v>1562</v>
      </c>
      <c r="C7" s="10" t="n">
        <v>2022</v>
      </c>
      <c r="D7" s="10" t="s">
        <v>1453</v>
      </c>
      <c r="E7" s="10" t="s">
        <v>1560</v>
      </c>
    </row>
    <row r="8" customFormat="false" ht="23.85" hidden="false" customHeight="false" outlineLevel="0" collapsed="false">
      <c r="A8" s="23" t="s">
        <v>613</v>
      </c>
      <c r="B8" s="10" t="s">
        <v>1563</v>
      </c>
      <c r="C8" s="10" t="n">
        <v>2008</v>
      </c>
      <c r="D8" s="10" t="s">
        <v>1453</v>
      </c>
      <c r="E8" s="10" t="s">
        <v>1560</v>
      </c>
    </row>
    <row r="9" customFormat="false" ht="23.85" hidden="false" customHeight="false" outlineLevel="0" collapsed="false">
      <c r="A9" s="23" t="s">
        <v>396</v>
      </c>
      <c r="B9" s="10" t="s">
        <v>1564</v>
      </c>
      <c r="C9" s="10" t="n">
        <v>2008</v>
      </c>
      <c r="D9" s="10" t="s">
        <v>1453</v>
      </c>
      <c r="E9" s="10" t="s">
        <v>1560</v>
      </c>
    </row>
    <row r="10" customFormat="false" ht="15" hidden="false" customHeight="false" outlineLevel="0" collapsed="false">
      <c r="A10" s="23" t="s">
        <v>1213</v>
      </c>
      <c r="B10" s="10" t="s">
        <v>1565</v>
      </c>
      <c r="C10" s="10" t="n">
        <v>2009</v>
      </c>
      <c r="D10" s="10" t="s">
        <v>1453</v>
      </c>
      <c r="E10" s="10" t="s">
        <v>1560</v>
      </c>
    </row>
    <row r="11" customFormat="false" ht="23.85" hidden="false" customHeight="false" outlineLevel="0" collapsed="false">
      <c r="A11" s="23" t="s">
        <v>585</v>
      </c>
      <c r="B11" s="10" t="s">
        <v>1566</v>
      </c>
      <c r="C11" s="10" t="n">
        <v>2014</v>
      </c>
      <c r="D11" s="10" t="s">
        <v>1453</v>
      </c>
      <c r="E11" s="10" t="s">
        <v>1560</v>
      </c>
    </row>
    <row r="12" customFormat="false" ht="23.85" hidden="false" customHeight="false" outlineLevel="0" collapsed="false">
      <c r="A12" s="23" t="s">
        <v>355</v>
      </c>
      <c r="B12" s="10" t="s">
        <v>1567</v>
      </c>
      <c r="C12" s="10" t="n">
        <v>2014</v>
      </c>
      <c r="D12" s="10" t="s">
        <v>1453</v>
      </c>
      <c r="E12" s="10" t="s">
        <v>1560</v>
      </c>
    </row>
    <row r="13" customFormat="false" ht="23.85" hidden="false" customHeight="false" outlineLevel="0" collapsed="false">
      <c r="A13" s="23" t="s">
        <v>1359</v>
      </c>
      <c r="B13" s="10" t="s">
        <v>1568</v>
      </c>
      <c r="C13" s="10" t="n">
        <v>2020</v>
      </c>
      <c r="D13" s="10" t="s">
        <v>1453</v>
      </c>
      <c r="E13" s="10" t="s">
        <v>1560</v>
      </c>
    </row>
    <row r="14" customFormat="false" ht="23.85" hidden="false" customHeight="false" outlineLevel="0" collapsed="false">
      <c r="A14" s="23" t="s">
        <v>292</v>
      </c>
      <c r="B14" s="10" t="s">
        <v>1569</v>
      </c>
      <c r="C14" s="10" t="n">
        <v>2005</v>
      </c>
      <c r="D14" s="10" t="s">
        <v>1453</v>
      </c>
      <c r="E14" s="10" t="s">
        <v>1560</v>
      </c>
    </row>
    <row r="15" customFormat="false" ht="15" hidden="false" customHeight="false" outlineLevel="0" collapsed="false">
      <c r="A15" s="23" t="s">
        <v>708</v>
      </c>
      <c r="B15" s="10" t="s">
        <v>1570</v>
      </c>
      <c r="C15" s="10" t="n">
        <v>2007</v>
      </c>
      <c r="D15" s="10" t="s">
        <v>1453</v>
      </c>
      <c r="E15" s="10" t="s">
        <v>1560</v>
      </c>
    </row>
    <row r="16" customFormat="false" ht="15" hidden="false" customHeight="false" outlineLevel="0" collapsed="false">
      <c r="A16" s="23" t="s">
        <v>1178</v>
      </c>
      <c r="B16" s="10" t="s">
        <v>1571</v>
      </c>
      <c r="C16" s="10" t="n">
        <v>2010</v>
      </c>
      <c r="D16" s="10" t="s">
        <v>1453</v>
      </c>
      <c r="E16" s="10" t="s">
        <v>1560</v>
      </c>
    </row>
    <row r="17" customFormat="false" ht="23.85" hidden="false" customHeight="false" outlineLevel="0" collapsed="false">
      <c r="A17" s="23" t="s">
        <v>297</v>
      </c>
      <c r="B17" s="10" t="s">
        <v>1572</v>
      </c>
      <c r="C17" s="10" t="n">
        <v>2020</v>
      </c>
      <c r="D17" s="10" t="s">
        <v>1453</v>
      </c>
      <c r="E17" s="10" t="s">
        <v>1560</v>
      </c>
    </row>
    <row r="18" customFormat="false" ht="23.85" hidden="false" customHeight="false" outlineLevel="0" collapsed="false">
      <c r="A18" s="23" t="s">
        <v>1573</v>
      </c>
      <c r="B18" s="10" t="s">
        <v>1574</v>
      </c>
      <c r="C18" s="10" t="n">
        <v>2020</v>
      </c>
      <c r="D18" s="10" t="s">
        <v>1453</v>
      </c>
      <c r="E18" s="10" t="s">
        <v>1560</v>
      </c>
    </row>
    <row r="19" customFormat="false" ht="23.85" hidden="false" customHeight="false" outlineLevel="0" collapsed="false">
      <c r="A19" s="23" t="s">
        <v>1575</v>
      </c>
      <c r="B19" s="10" t="s">
        <v>1576</v>
      </c>
      <c r="C19" s="10" t="n">
        <v>2011</v>
      </c>
      <c r="D19" s="10" t="s">
        <v>1453</v>
      </c>
      <c r="E19" s="10" t="s">
        <v>1577</v>
      </c>
    </row>
    <row r="20" customFormat="false" ht="23.85" hidden="false" customHeight="false" outlineLevel="0" collapsed="false">
      <c r="A20" s="23" t="s">
        <v>703</v>
      </c>
      <c r="B20" s="10" t="s">
        <v>1578</v>
      </c>
      <c r="C20" s="10" t="n">
        <v>2001</v>
      </c>
      <c r="D20" s="10" t="s">
        <v>1453</v>
      </c>
      <c r="E20" s="10" t="s">
        <v>1560</v>
      </c>
    </row>
    <row r="21" customFormat="false" ht="15" hidden="false" customHeight="false" outlineLevel="0" collapsed="false">
      <c r="A21" s="23" t="s">
        <v>1064</v>
      </c>
      <c r="B21" s="10" t="s">
        <v>1579</v>
      </c>
      <c r="C21" s="10" t="n">
        <v>2005</v>
      </c>
      <c r="D21" s="10" t="s">
        <v>1453</v>
      </c>
      <c r="E21" s="10" t="s">
        <v>1560</v>
      </c>
    </row>
    <row r="22" customFormat="false" ht="23.85" hidden="false" customHeight="false" outlineLevel="0" collapsed="false">
      <c r="A22" s="23" t="s">
        <v>270</v>
      </c>
      <c r="B22" s="10" t="s">
        <v>1580</v>
      </c>
      <c r="C22" s="10" t="n">
        <v>2007</v>
      </c>
      <c r="D22" s="10" t="s">
        <v>1453</v>
      </c>
      <c r="E22" s="10" t="s">
        <v>1560</v>
      </c>
    </row>
    <row r="23" customFormat="false" ht="15" hidden="false" customHeight="false" outlineLevel="0" collapsed="false">
      <c r="A23" s="23" t="s">
        <v>723</v>
      </c>
      <c r="B23" s="10" t="s">
        <v>1581</v>
      </c>
      <c r="C23" s="10" t="n">
        <v>2015</v>
      </c>
      <c r="D23" s="10" t="s">
        <v>1453</v>
      </c>
      <c r="E23" s="10" t="s">
        <v>1560</v>
      </c>
    </row>
    <row r="24" customFormat="false" ht="23.85" hidden="false" customHeight="false" outlineLevel="0" collapsed="false">
      <c r="A24" s="23" t="s">
        <v>1000</v>
      </c>
      <c r="B24" s="10" t="s">
        <v>1582</v>
      </c>
      <c r="C24" s="10" t="n">
        <v>2018</v>
      </c>
      <c r="D24" s="10" t="s">
        <v>1453</v>
      </c>
      <c r="E24" s="10" t="s">
        <v>1560</v>
      </c>
    </row>
    <row r="25" customFormat="false" ht="23.85" hidden="false" customHeight="false" outlineLevel="0" collapsed="false">
      <c r="A25" s="23" t="s">
        <v>102</v>
      </c>
      <c r="B25" s="10" t="s">
        <v>1583</v>
      </c>
      <c r="C25" s="10" t="n">
        <v>2009</v>
      </c>
      <c r="D25" s="10" t="s">
        <v>1453</v>
      </c>
      <c r="E25" s="10" t="s">
        <v>1560</v>
      </c>
    </row>
    <row r="26" customFormat="false" ht="23.85" hidden="false" customHeight="false" outlineLevel="0" collapsed="false">
      <c r="A26" s="23" t="s">
        <v>1192</v>
      </c>
      <c r="B26" s="10" t="s">
        <v>1584</v>
      </c>
      <c r="C26" s="10" t="n">
        <v>2017</v>
      </c>
      <c r="D26" s="10" t="s">
        <v>1453</v>
      </c>
      <c r="E26" s="10" t="s">
        <v>1560</v>
      </c>
    </row>
    <row r="27" customFormat="false" ht="15" hidden="false" customHeight="false" outlineLevel="0" collapsed="false">
      <c r="A27" s="23" t="s">
        <v>557</v>
      </c>
      <c r="B27" s="10" t="s">
        <v>1585</v>
      </c>
      <c r="C27" s="10" t="n">
        <v>2009</v>
      </c>
      <c r="D27" s="10" t="s">
        <v>1453</v>
      </c>
      <c r="E27" s="10" t="s">
        <v>1560</v>
      </c>
    </row>
    <row r="28" customFormat="false" ht="23.85" hidden="false" customHeight="false" outlineLevel="0" collapsed="false">
      <c r="A28" s="23" t="s">
        <v>870</v>
      </c>
      <c r="B28" s="10" t="s">
        <v>1586</v>
      </c>
      <c r="C28" s="10" t="n">
        <v>2009</v>
      </c>
      <c r="D28" s="10" t="s">
        <v>1453</v>
      </c>
      <c r="E28" s="10" t="s">
        <v>1560</v>
      </c>
    </row>
    <row r="29" customFormat="false" ht="23.85" hidden="false" customHeight="false" outlineLevel="0" collapsed="false">
      <c r="A29" s="23" t="s">
        <v>918</v>
      </c>
      <c r="B29" s="10" t="s">
        <v>1587</v>
      </c>
      <c r="C29" s="10" t="n">
        <v>2013</v>
      </c>
      <c r="D29" s="10" t="s">
        <v>1453</v>
      </c>
      <c r="E29" s="10" t="s">
        <v>1560</v>
      </c>
    </row>
    <row r="30" customFormat="false" ht="23.85" hidden="false" customHeight="false" outlineLevel="0" collapsed="false">
      <c r="A30" s="23" t="s">
        <v>569</v>
      </c>
      <c r="B30" s="10" t="s">
        <v>1588</v>
      </c>
      <c r="C30" s="10" t="n">
        <v>1996</v>
      </c>
      <c r="D30" s="10" t="s">
        <v>1453</v>
      </c>
      <c r="E30" s="10" t="s">
        <v>1560</v>
      </c>
    </row>
    <row r="31" customFormat="false" ht="23.85" hidden="false" customHeight="false" outlineLevel="0" collapsed="false">
      <c r="A31" s="23" t="s">
        <v>1589</v>
      </c>
      <c r="B31" s="10" t="s">
        <v>1590</v>
      </c>
      <c r="C31" s="10" t="n">
        <v>2024</v>
      </c>
      <c r="D31" s="10" t="s">
        <v>1453</v>
      </c>
      <c r="E31" s="10" t="s">
        <v>1591</v>
      </c>
    </row>
    <row r="32" customFormat="false" ht="23.85" hidden="false" customHeight="false" outlineLevel="0" collapsed="false">
      <c r="A32" s="23" t="s">
        <v>1592</v>
      </c>
      <c r="B32" s="10" t="s">
        <v>1593</v>
      </c>
      <c r="C32" s="10" t="n">
        <v>2025</v>
      </c>
      <c r="D32" s="10" t="s">
        <v>1453</v>
      </c>
      <c r="E32" s="10" t="s">
        <v>1560</v>
      </c>
    </row>
    <row r="33" customFormat="false" ht="23.85" hidden="false" customHeight="false" outlineLevel="0" collapsed="false">
      <c r="A33" s="23" t="s">
        <v>1417</v>
      </c>
      <c r="B33" s="10" t="s">
        <v>1594</v>
      </c>
      <c r="C33" s="10" t="n">
        <v>2013</v>
      </c>
      <c r="D33" s="10" t="s">
        <v>1453</v>
      </c>
      <c r="E33" s="10" t="s">
        <v>1560</v>
      </c>
    </row>
    <row r="34" customFormat="false" ht="23.85" hidden="false" customHeight="false" outlineLevel="0" collapsed="false">
      <c r="A34" s="23" t="s">
        <v>203</v>
      </c>
      <c r="B34" s="10" t="s">
        <v>1595</v>
      </c>
      <c r="C34" s="10" t="n">
        <v>2005</v>
      </c>
      <c r="D34" s="10" t="s">
        <v>1453</v>
      </c>
      <c r="E34" s="10" t="s">
        <v>1560</v>
      </c>
    </row>
    <row r="35" customFormat="false" ht="23.85" hidden="false" customHeight="false" outlineLevel="0" collapsed="false">
      <c r="A35" s="23" t="s">
        <v>1352</v>
      </c>
      <c r="B35" s="10" t="s">
        <v>1596</v>
      </c>
      <c r="C35" s="10" t="n">
        <v>2004</v>
      </c>
      <c r="D35" s="10" t="s">
        <v>1453</v>
      </c>
      <c r="E35" s="10" t="s">
        <v>1560</v>
      </c>
    </row>
    <row r="36" customFormat="false" ht="23.85" hidden="false" customHeight="false" outlineLevel="0" collapsed="false">
      <c r="A36" s="23" t="s">
        <v>539</v>
      </c>
      <c r="B36" s="10" t="s">
        <v>1597</v>
      </c>
      <c r="C36" s="10" t="n">
        <v>2022</v>
      </c>
      <c r="D36" s="10" t="s">
        <v>1453</v>
      </c>
      <c r="E36" s="10" t="s">
        <v>1560</v>
      </c>
    </row>
    <row r="37" customFormat="false" ht="23.85" hidden="false" customHeight="false" outlineLevel="0" collapsed="false">
      <c r="A37" s="23" t="s">
        <v>347</v>
      </c>
      <c r="B37" s="10" t="s">
        <v>1598</v>
      </c>
      <c r="C37" s="10" t="n">
        <v>2017</v>
      </c>
      <c r="D37" s="10" t="s">
        <v>1453</v>
      </c>
      <c r="E37" s="10" t="s">
        <v>1560</v>
      </c>
    </row>
    <row r="38" customFormat="false" ht="15" hidden="false" customHeight="false" outlineLevel="0" collapsed="false">
      <c r="A38" s="23" t="s">
        <v>337</v>
      </c>
      <c r="B38" s="10" t="s">
        <v>1599</v>
      </c>
      <c r="C38" s="10" t="n">
        <v>1983</v>
      </c>
      <c r="D38" s="10" t="s">
        <v>1453</v>
      </c>
      <c r="E38" s="10" t="s">
        <v>1560</v>
      </c>
    </row>
    <row r="39" customFormat="false" ht="23.85" hidden="false" customHeight="false" outlineLevel="0" collapsed="false">
      <c r="A39" s="23" t="s">
        <v>244</v>
      </c>
      <c r="B39" s="10" t="s">
        <v>1600</v>
      </c>
      <c r="C39" s="10" t="n">
        <v>2024</v>
      </c>
      <c r="D39" s="10" t="s">
        <v>1453</v>
      </c>
      <c r="E39" s="10" t="s">
        <v>1560</v>
      </c>
    </row>
    <row r="40" customFormat="false" ht="23.85" hidden="false" customHeight="false" outlineLevel="0" collapsed="false">
      <c r="A40" s="23" t="s">
        <v>774</v>
      </c>
      <c r="B40" s="10" t="s">
        <v>1601</v>
      </c>
      <c r="C40" s="10" t="n">
        <v>2009</v>
      </c>
      <c r="D40" s="10" t="s">
        <v>1453</v>
      </c>
      <c r="E40" s="10" t="s">
        <v>1560</v>
      </c>
    </row>
    <row r="41" customFormat="false" ht="15" hidden="false" customHeight="false" outlineLevel="0" collapsed="false">
      <c r="A41" s="23" t="s">
        <v>1305</v>
      </c>
      <c r="B41" s="10" t="s">
        <v>1602</v>
      </c>
      <c r="C41" s="10" t="n">
        <v>2024</v>
      </c>
      <c r="D41" s="10" t="s">
        <v>1453</v>
      </c>
      <c r="E41" s="10" t="s">
        <v>1560</v>
      </c>
    </row>
    <row r="42" customFormat="false" ht="23.85" hidden="false" customHeight="false" outlineLevel="0" collapsed="false">
      <c r="A42" s="23" t="s">
        <v>84</v>
      </c>
      <c r="B42" s="10" t="s">
        <v>1603</v>
      </c>
      <c r="C42" s="10" t="n">
        <v>2017</v>
      </c>
      <c r="D42" s="10" t="s">
        <v>1453</v>
      </c>
      <c r="E42" s="10" t="s">
        <v>1560</v>
      </c>
    </row>
    <row r="43" customFormat="false" ht="23.85" hidden="false" customHeight="false" outlineLevel="0" collapsed="false">
      <c r="A43" s="23" t="s">
        <v>1395</v>
      </c>
      <c r="B43" s="10" t="s">
        <v>1604</v>
      </c>
      <c r="C43" s="10" t="n">
        <v>2024</v>
      </c>
      <c r="D43" s="10" t="s">
        <v>1453</v>
      </c>
      <c r="E43" s="10" t="s">
        <v>1560</v>
      </c>
    </row>
    <row r="44" customFormat="false" ht="23.85" hidden="false" customHeight="false" outlineLevel="0" collapsed="false">
      <c r="A44" s="23" t="s">
        <v>1136</v>
      </c>
      <c r="B44" s="10" t="s">
        <v>1605</v>
      </c>
      <c r="C44" s="10" t="n">
        <v>2009</v>
      </c>
      <c r="D44" s="10" t="s">
        <v>1453</v>
      </c>
      <c r="E44" s="10" t="s">
        <v>1560</v>
      </c>
    </row>
    <row r="45" customFormat="false" ht="23.85" hidden="false" customHeight="false" outlineLevel="0" collapsed="false">
      <c r="A45" s="23" t="s">
        <v>594</v>
      </c>
      <c r="B45" s="10" t="s">
        <v>1606</v>
      </c>
      <c r="C45" s="10" t="n">
        <v>2006</v>
      </c>
      <c r="D45" s="10" t="s">
        <v>1453</v>
      </c>
      <c r="E45" s="10" t="s">
        <v>1560</v>
      </c>
    </row>
    <row r="46" customFormat="false" ht="23.85" hidden="false" customHeight="false" outlineLevel="0" collapsed="false">
      <c r="A46" s="23" t="s">
        <v>1132</v>
      </c>
      <c r="B46" s="10" t="s">
        <v>1607</v>
      </c>
      <c r="C46" s="10" t="n">
        <v>2006</v>
      </c>
      <c r="D46" s="10" t="s">
        <v>1453</v>
      </c>
      <c r="E46" s="10" t="s">
        <v>1560</v>
      </c>
    </row>
    <row r="47" customFormat="false" ht="15" hidden="false" customHeight="false" outlineLevel="0" collapsed="false">
      <c r="A47" s="23" t="s">
        <v>1608</v>
      </c>
      <c r="B47" s="10" t="s">
        <v>1609</v>
      </c>
      <c r="C47" s="10" t="n">
        <v>2012</v>
      </c>
      <c r="D47" s="10" t="s">
        <v>1453</v>
      </c>
      <c r="E47" s="10" t="s">
        <v>1610</v>
      </c>
    </row>
    <row r="48" customFormat="false" ht="15" hidden="false" customHeight="false" outlineLevel="0" collapsed="false">
      <c r="A48" s="23" t="s">
        <v>1313</v>
      </c>
      <c r="B48" s="10" t="s">
        <v>1611</v>
      </c>
      <c r="C48" s="10" t="n">
        <v>2015</v>
      </c>
      <c r="D48" s="10" t="s">
        <v>1453</v>
      </c>
      <c r="E48" s="10" t="s">
        <v>1560</v>
      </c>
    </row>
    <row r="49" customFormat="false" ht="15" hidden="false" customHeight="false" outlineLevel="0" collapsed="false">
      <c r="A49" s="23" t="s">
        <v>1612</v>
      </c>
      <c r="B49" s="10" t="s">
        <v>1609</v>
      </c>
      <c r="C49" s="10" t="n">
        <v>2024</v>
      </c>
      <c r="D49" s="10" t="s">
        <v>1453</v>
      </c>
      <c r="E49" s="10" t="s">
        <v>1560</v>
      </c>
    </row>
    <row r="50" customFormat="false" ht="23.85" hidden="false" customHeight="false" outlineLevel="0" collapsed="false">
      <c r="A50" s="23" t="s">
        <v>1205</v>
      </c>
      <c r="B50" s="10" t="s">
        <v>1613</v>
      </c>
      <c r="C50" s="10" t="n">
        <v>2014</v>
      </c>
      <c r="D50" s="10" t="s">
        <v>1453</v>
      </c>
      <c r="E50" s="10" t="s">
        <v>1560</v>
      </c>
    </row>
    <row r="51" customFormat="false" ht="23.85" hidden="false" customHeight="false" outlineLevel="0" collapsed="false">
      <c r="A51" s="23" t="s">
        <v>1150</v>
      </c>
      <c r="B51" s="10" t="s">
        <v>1614</v>
      </c>
      <c r="C51" s="10" t="n">
        <v>2026</v>
      </c>
      <c r="D51" s="10" t="s">
        <v>1453</v>
      </c>
      <c r="E51" s="10" t="s">
        <v>1560</v>
      </c>
    </row>
    <row r="52" customFormat="false" ht="23.85" hidden="false" customHeight="false" outlineLevel="0" collapsed="false">
      <c r="A52" s="23" t="s">
        <v>168</v>
      </c>
      <c r="B52" s="10" t="s">
        <v>1615</v>
      </c>
      <c r="C52" s="10" t="n">
        <v>2005</v>
      </c>
      <c r="D52" s="10" t="s">
        <v>1453</v>
      </c>
      <c r="E52" s="10" t="s">
        <v>1560</v>
      </c>
    </row>
    <row r="53" customFormat="false" ht="15" hidden="false" customHeight="false" outlineLevel="0" collapsed="false">
      <c r="A53" s="23" t="s">
        <v>910</v>
      </c>
      <c r="B53" s="10" t="s">
        <v>1616</v>
      </c>
      <c r="C53" s="10" t="n">
        <v>2005</v>
      </c>
      <c r="D53" s="10" t="s">
        <v>1453</v>
      </c>
      <c r="E53" s="10" t="s">
        <v>1560</v>
      </c>
    </row>
    <row r="54" customFormat="false" ht="23.85" hidden="false" customHeight="false" outlineLevel="0" collapsed="false">
      <c r="A54" s="23" t="s">
        <v>1234</v>
      </c>
      <c r="B54" s="10" t="s">
        <v>1617</v>
      </c>
      <c r="C54" s="10" t="n">
        <v>2015</v>
      </c>
      <c r="D54" s="10" t="s">
        <v>1453</v>
      </c>
      <c r="E54" s="10" t="s">
        <v>1560</v>
      </c>
    </row>
    <row r="55" customFormat="false" ht="23.85" hidden="false" customHeight="false" outlineLevel="0" collapsed="false">
      <c r="A55" s="23" t="s">
        <v>184</v>
      </c>
      <c r="B55" s="10" t="s">
        <v>1618</v>
      </c>
      <c r="C55" s="10" t="n">
        <v>2009</v>
      </c>
      <c r="D55" s="10" t="s">
        <v>1453</v>
      </c>
      <c r="E55" s="10" t="s">
        <v>1560</v>
      </c>
    </row>
    <row r="56" customFormat="false" ht="23.85" hidden="false" customHeight="false" outlineLevel="0" collapsed="false">
      <c r="A56" s="23" t="s">
        <v>444</v>
      </c>
      <c r="B56" s="10" t="s">
        <v>1619</v>
      </c>
      <c r="C56" s="10" t="n">
        <v>2019</v>
      </c>
      <c r="D56" s="10" t="s">
        <v>1453</v>
      </c>
      <c r="E56" s="10" t="s">
        <v>1560</v>
      </c>
    </row>
    <row r="57" customFormat="false" ht="23.85" hidden="false" customHeight="false" outlineLevel="0" collapsed="false">
      <c r="A57" s="23" t="s">
        <v>947</v>
      </c>
      <c r="B57" s="10" t="s">
        <v>1620</v>
      </c>
      <c r="C57" s="10" t="n">
        <v>2021</v>
      </c>
      <c r="D57" s="10" t="s">
        <v>1453</v>
      </c>
      <c r="E57" s="10" t="s">
        <v>1560</v>
      </c>
    </row>
    <row r="58" customFormat="false" ht="23.85" hidden="false" customHeight="false" outlineLevel="0" collapsed="false">
      <c r="A58" s="23" t="s">
        <v>581</v>
      </c>
      <c r="B58" s="10" t="s">
        <v>1621</v>
      </c>
      <c r="C58" s="10" t="n">
        <v>2019</v>
      </c>
      <c r="D58" s="10" t="s">
        <v>1453</v>
      </c>
      <c r="E58" s="10" t="s">
        <v>1560</v>
      </c>
    </row>
    <row r="59" customFormat="false" ht="23.85" hidden="false" customHeight="false" outlineLevel="0" collapsed="false">
      <c r="A59" s="23" t="s">
        <v>324</v>
      </c>
      <c r="B59" s="10" t="s">
        <v>1622</v>
      </c>
      <c r="C59" s="10" t="n">
        <v>2020</v>
      </c>
      <c r="D59" s="10" t="s">
        <v>1453</v>
      </c>
      <c r="E59" s="10" t="s">
        <v>1560</v>
      </c>
    </row>
    <row r="60" customFormat="false" ht="23.85" hidden="false" customHeight="false" outlineLevel="0" collapsed="false">
      <c r="A60" s="23" t="s">
        <v>643</v>
      </c>
      <c r="B60" s="10" t="s">
        <v>1623</v>
      </c>
      <c r="C60" s="10" t="n">
        <v>2008</v>
      </c>
      <c r="D60" s="10" t="s">
        <v>1453</v>
      </c>
      <c r="E60" s="10" t="s">
        <v>1560</v>
      </c>
    </row>
    <row r="61" customFormat="false" ht="23.85" hidden="false" customHeight="false" outlineLevel="0" collapsed="false">
      <c r="A61" s="23" t="s">
        <v>286</v>
      </c>
      <c r="B61" s="10" t="s">
        <v>1624</v>
      </c>
      <c r="C61" s="10" t="n">
        <v>2008</v>
      </c>
      <c r="D61" s="10" t="s">
        <v>1453</v>
      </c>
      <c r="E61" s="10" t="s">
        <v>1560</v>
      </c>
    </row>
    <row r="62" customFormat="false" ht="23.85" hidden="false" customHeight="false" outlineLevel="0" collapsed="false">
      <c r="A62" s="23" t="s">
        <v>677</v>
      </c>
      <c r="B62" s="10" t="s">
        <v>1625</v>
      </c>
      <c r="C62" s="10" t="n">
        <v>2014</v>
      </c>
      <c r="D62" s="10" t="s">
        <v>1453</v>
      </c>
      <c r="E62" s="10" t="s">
        <v>1560</v>
      </c>
    </row>
    <row r="63" customFormat="false" ht="15" hidden="false" customHeight="false" outlineLevel="0" collapsed="false">
      <c r="A63" s="23" t="s">
        <v>757</v>
      </c>
      <c r="B63" s="10" t="s">
        <v>1626</v>
      </c>
      <c r="C63" s="10" t="n">
        <v>2015</v>
      </c>
      <c r="D63" s="10" t="s">
        <v>1453</v>
      </c>
      <c r="E63" s="10" t="s">
        <v>1560</v>
      </c>
    </row>
    <row r="64" customFormat="false" ht="23.85" hidden="false" customHeight="false" outlineLevel="0" collapsed="false">
      <c r="A64" s="23" t="s">
        <v>1270</v>
      </c>
      <c r="B64" s="10" t="s">
        <v>1627</v>
      </c>
      <c r="C64" s="10" t="n">
        <v>2016</v>
      </c>
      <c r="D64" s="10" t="s">
        <v>1453</v>
      </c>
      <c r="E64" s="10" t="s">
        <v>1560</v>
      </c>
    </row>
    <row r="65" customFormat="false" ht="35.05" hidden="false" customHeight="false" outlineLevel="0" collapsed="false">
      <c r="A65" s="23" t="s">
        <v>140</v>
      </c>
      <c r="B65" s="10" t="s">
        <v>1628</v>
      </c>
      <c r="C65" s="10" t="n">
        <v>2017</v>
      </c>
      <c r="D65" s="10" t="s">
        <v>1453</v>
      </c>
      <c r="E65" s="10" t="s">
        <v>1560</v>
      </c>
    </row>
    <row r="66" customFormat="false" ht="23.85" hidden="false" customHeight="false" outlineLevel="0" collapsed="false">
      <c r="A66" s="23" t="s">
        <v>685</v>
      </c>
      <c r="B66" s="10" t="s">
        <v>1629</v>
      </c>
      <c r="C66" s="10" t="n">
        <v>2023</v>
      </c>
      <c r="D66" s="10" t="s">
        <v>1453</v>
      </c>
      <c r="E66" s="10" t="s">
        <v>1560</v>
      </c>
    </row>
    <row r="67" customFormat="false" ht="23.85" hidden="false" customHeight="false" outlineLevel="0" collapsed="false">
      <c r="A67" s="23" t="s">
        <v>501</v>
      </c>
      <c r="B67" s="10" t="s">
        <v>1630</v>
      </c>
      <c r="C67" s="10" t="n">
        <v>2025</v>
      </c>
      <c r="D67" s="10" t="s">
        <v>1453</v>
      </c>
      <c r="E67" s="10" t="s">
        <v>1560</v>
      </c>
    </row>
    <row r="68" customFormat="false" ht="23.85" hidden="false" customHeight="false" outlineLevel="0" collapsed="false">
      <c r="A68" s="23" t="s">
        <v>110</v>
      </c>
      <c r="B68" s="10" t="s">
        <v>1631</v>
      </c>
      <c r="C68" s="10" t="n">
        <v>2019</v>
      </c>
      <c r="D68" s="10" t="s">
        <v>1453</v>
      </c>
      <c r="E68" s="10" t="s">
        <v>1560</v>
      </c>
    </row>
    <row r="69" customFormat="false" ht="23.85" hidden="false" customHeight="false" outlineLevel="0" collapsed="false">
      <c r="A69" s="23" t="s">
        <v>966</v>
      </c>
      <c r="B69" s="10" t="s">
        <v>1632</v>
      </c>
      <c r="C69" s="10" t="n">
        <v>2022</v>
      </c>
      <c r="D69" s="10" t="s">
        <v>1453</v>
      </c>
      <c r="E69" s="10" t="s">
        <v>1560</v>
      </c>
    </row>
    <row r="70" customFormat="false" ht="23.85" hidden="false" customHeight="false" outlineLevel="0" collapsed="false">
      <c r="A70" s="23" t="s">
        <v>440</v>
      </c>
      <c r="B70" s="10" t="s">
        <v>1633</v>
      </c>
      <c r="C70" s="10" t="n">
        <v>2020</v>
      </c>
      <c r="D70" s="10" t="s">
        <v>1453</v>
      </c>
      <c r="E70" s="10" t="s">
        <v>1560</v>
      </c>
    </row>
    <row r="71" customFormat="false" ht="23.85" hidden="false" customHeight="false" outlineLevel="0" collapsed="false">
      <c r="A71" s="23" t="s">
        <v>1071</v>
      </c>
      <c r="B71" s="10" t="s">
        <v>1634</v>
      </c>
      <c r="C71" s="10" t="n">
        <v>2010</v>
      </c>
      <c r="D71" s="10" t="s">
        <v>1453</v>
      </c>
      <c r="E71" s="10" t="s">
        <v>1560</v>
      </c>
    </row>
    <row r="72" customFormat="false" ht="23.85" hidden="false" customHeight="false" outlineLevel="0" collapsed="false">
      <c r="A72" s="23" t="s">
        <v>1341</v>
      </c>
      <c r="B72" s="10" t="s">
        <v>1635</v>
      </c>
      <c r="C72" s="10" t="n">
        <v>2015</v>
      </c>
      <c r="D72" s="10" t="s">
        <v>1453</v>
      </c>
      <c r="E72" s="10" t="s">
        <v>1560</v>
      </c>
    </row>
    <row r="73" customFormat="false" ht="23.85" hidden="false" customHeight="false" outlineLevel="0" collapsed="false">
      <c r="A73" s="23" t="s">
        <v>318</v>
      </c>
      <c r="B73" s="10" t="s">
        <v>1636</v>
      </c>
      <c r="C73" s="10" t="n">
        <v>2005</v>
      </c>
      <c r="D73" s="10" t="s">
        <v>1453</v>
      </c>
      <c r="E73" s="10" t="s">
        <v>1560</v>
      </c>
    </row>
    <row r="74" customFormat="false" ht="23.85" hidden="false" customHeight="false" outlineLevel="0" collapsed="false">
      <c r="A74" s="23" t="s">
        <v>619</v>
      </c>
      <c r="B74" s="10" t="s">
        <v>1637</v>
      </c>
      <c r="C74" s="10" t="n">
        <v>2010</v>
      </c>
      <c r="D74" s="10" t="s">
        <v>1453</v>
      </c>
      <c r="E74" s="10" t="s">
        <v>1560</v>
      </c>
    </row>
    <row r="75" customFormat="false" ht="15" hidden="false" customHeight="false" outlineLevel="0" collapsed="false">
      <c r="A75" s="23" t="s">
        <v>1385</v>
      </c>
      <c r="B75" s="10" t="s">
        <v>1638</v>
      </c>
      <c r="C75" s="10" t="n">
        <v>2002</v>
      </c>
      <c r="D75" s="10" t="s">
        <v>1453</v>
      </c>
      <c r="E75" s="10" t="s">
        <v>1560</v>
      </c>
    </row>
    <row r="76" customFormat="false" ht="15" hidden="false" customHeight="false" outlineLevel="0" collapsed="false">
      <c r="A76" s="23" t="s">
        <v>736</v>
      </c>
      <c r="B76" s="10" t="s">
        <v>1639</v>
      </c>
      <c r="C76" s="10" t="n">
        <v>2003</v>
      </c>
      <c r="D76" s="10" t="s">
        <v>1453</v>
      </c>
      <c r="E76" s="10" t="s">
        <v>1560</v>
      </c>
    </row>
    <row r="77" customFormat="false" ht="23.85" hidden="false" customHeight="false" outlineLevel="0" collapsed="false">
      <c r="A77" s="23" t="s">
        <v>1094</v>
      </c>
      <c r="B77" s="10" t="s">
        <v>1640</v>
      </c>
      <c r="C77" s="10" t="n">
        <v>2001</v>
      </c>
      <c r="D77" s="10" t="s">
        <v>1453</v>
      </c>
      <c r="E77" s="10" t="s">
        <v>1560</v>
      </c>
    </row>
    <row r="78" customFormat="false" ht="23.85" hidden="false" customHeight="false" outlineLevel="0" collapsed="false">
      <c r="A78" s="23" t="s">
        <v>1122</v>
      </c>
      <c r="B78" s="10" t="s">
        <v>1641</v>
      </c>
      <c r="C78" s="10" t="n">
        <v>1994</v>
      </c>
      <c r="D78" s="10" t="s">
        <v>1453</v>
      </c>
      <c r="E78" s="10" t="s">
        <v>1560</v>
      </c>
    </row>
    <row r="79" customFormat="false" ht="15" hidden="false" customHeight="false" outlineLevel="0" collapsed="false">
      <c r="A79" s="23" t="s">
        <v>1369</v>
      </c>
      <c r="B79" s="10" t="s">
        <v>1642</v>
      </c>
      <c r="C79" s="10" t="n">
        <v>2017</v>
      </c>
      <c r="D79" s="10" t="s">
        <v>1453</v>
      </c>
      <c r="E79" s="10" t="s">
        <v>1560</v>
      </c>
    </row>
    <row r="80" customFormat="false" ht="15" hidden="false" customHeight="false" outlineLevel="0" collapsed="false">
      <c r="A80" s="23" t="s">
        <v>275</v>
      </c>
      <c r="B80" s="10" t="s">
        <v>1643</v>
      </c>
      <c r="C80" s="10" t="n">
        <v>2017</v>
      </c>
      <c r="D80" s="10" t="s">
        <v>1453</v>
      </c>
      <c r="E80" s="10" t="s">
        <v>1560</v>
      </c>
    </row>
    <row r="81" customFormat="false" ht="15" hidden="false" customHeight="false" outlineLevel="0" collapsed="false">
      <c r="A81" s="23" t="s">
        <v>490</v>
      </c>
      <c r="B81" s="10" t="s">
        <v>1644</v>
      </c>
      <c r="C81" s="10" t="n">
        <v>2000</v>
      </c>
      <c r="D81" s="10" t="s">
        <v>1453</v>
      </c>
      <c r="E81" s="10" t="s">
        <v>1560</v>
      </c>
    </row>
    <row r="82" customFormat="false" ht="15" hidden="false" customHeight="false" outlineLevel="0" collapsed="false">
      <c r="A82" s="23" t="s">
        <v>604</v>
      </c>
      <c r="B82" s="10" t="s">
        <v>1645</v>
      </c>
      <c r="C82" s="10" t="n">
        <v>2008</v>
      </c>
      <c r="D82" s="10" t="s">
        <v>1453</v>
      </c>
      <c r="E82" s="10" t="s">
        <v>1560</v>
      </c>
    </row>
    <row r="83" customFormat="false" ht="23.85" hidden="false" customHeight="false" outlineLevel="0" collapsed="false">
      <c r="A83" s="23" t="s">
        <v>401</v>
      </c>
      <c r="B83" s="10" t="s">
        <v>1646</v>
      </c>
      <c r="C83" s="10" t="n">
        <v>2010</v>
      </c>
      <c r="D83" s="10" t="s">
        <v>1453</v>
      </c>
      <c r="E83" s="10" t="s">
        <v>1560</v>
      </c>
    </row>
    <row r="84" customFormat="false" ht="23.85" hidden="false" customHeight="false" outlineLevel="0" collapsed="false">
      <c r="A84" s="23" t="s">
        <v>651</v>
      </c>
      <c r="B84" s="10" t="s">
        <v>1647</v>
      </c>
      <c r="C84" s="10" t="n">
        <v>2014</v>
      </c>
      <c r="D84" s="10" t="s">
        <v>1453</v>
      </c>
      <c r="E84" s="10" t="s">
        <v>1560</v>
      </c>
    </row>
    <row r="85" customFormat="false" ht="23.85" hidden="false" customHeight="false" outlineLevel="0" collapsed="false">
      <c r="A85" s="23" t="s">
        <v>333</v>
      </c>
      <c r="B85" s="10" t="s">
        <v>1648</v>
      </c>
      <c r="C85" s="10" t="n">
        <v>2020</v>
      </c>
      <c r="D85" s="10" t="s">
        <v>1453</v>
      </c>
      <c r="E85" s="10" t="s">
        <v>1560</v>
      </c>
    </row>
    <row r="86" customFormat="false" ht="23.85" hidden="false" customHeight="false" outlineLevel="0" collapsed="false">
      <c r="A86" s="23" t="s">
        <v>1141</v>
      </c>
      <c r="B86" s="10" t="s">
        <v>1649</v>
      </c>
      <c r="C86" s="10" t="n">
        <v>2021</v>
      </c>
      <c r="D86" s="10" t="s">
        <v>1453</v>
      </c>
      <c r="E86" s="10" t="s">
        <v>1650</v>
      </c>
    </row>
    <row r="87" customFormat="false" ht="23.85" hidden="false" customHeight="false" outlineLevel="0" collapsed="false">
      <c r="A87" s="23" t="s">
        <v>361</v>
      </c>
      <c r="B87" s="10" t="s">
        <v>1651</v>
      </c>
      <c r="C87" s="10" t="n">
        <v>2022</v>
      </c>
      <c r="D87" s="10" t="s">
        <v>1453</v>
      </c>
      <c r="E87" s="10" t="s">
        <v>1560</v>
      </c>
    </row>
    <row r="88" customFormat="false" ht="23.85" hidden="false" customHeight="false" outlineLevel="0" collapsed="false">
      <c r="A88" s="23" t="s">
        <v>369</v>
      </c>
      <c r="B88" s="10" t="s">
        <v>1652</v>
      </c>
      <c r="C88" s="10" t="n">
        <v>2024</v>
      </c>
      <c r="D88" s="10" t="s">
        <v>1453</v>
      </c>
      <c r="E88" s="10" t="s">
        <v>1560</v>
      </c>
    </row>
    <row r="89" customFormat="false" ht="23.85" hidden="false" customHeight="false" outlineLevel="0" collapsed="false">
      <c r="A89" s="23" t="s">
        <v>746</v>
      </c>
      <c r="B89" s="10" t="s">
        <v>1653</v>
      </c>
      <c r="C89" s="10" t="n">
        <v>2018</v>
      </c>
      <c r="D89" s="10" t="s">
        <v>1453</v>
      </c>
      <c r="E89" s="10" t="s">
        <v>1560</v>
      </c>
    </row>
    <row r="90" customFormat="false" ht="15" hidden="false" customHeight="false" outlineLevel="0" collapsed="false">
      <c r="A90" s="23" t="s">
        <v>1011</v>
      </c>
      <c r="B90" s="10" t="s">
        <v>1654</v>
      </c>
      <c r="C90" s="10" t="n">
        <v>2021</v>
      </c>
      <c r="D90" s="10" t="s">
        <v>1453</v>
      </c>
      <c r="E90" s="10" t="s">
        <v>1560</v>
      </c>
    </row>
    <row r="91" customFormat="false" ht="23.85" hidden="false" customHeight="false" outlineLevel="0" collapsed="false">
      <c r="A91" s="23" t="s">
        <v>1655</v>
      </c>
      <c r="B91" s="10" t="s">
        <v>1656</v>
      </c>
      <c r="C91" s="10" t="n">
        <v>2019</v>
      </c>
      <c r="D91" s="10" t="s">
        <v>1453</v>
      </c>
      <c r="E91" s="10" t="s">
        <v>1560</v>
      </c>
    </row>
    <row r="92" customFormat="false" ht="23.85" hidden="false" customHeight="false" outlineLevel="0" collapsed="false">
      <c r="A92" s="23" t="s">
        <v>637</v>
      </c>
      <c r="B92" s="10" t="s">
        <v>1657</v>
      </c>
      <c r="C92" s="10" t="n">
        <v>2020</v>
      </c>
      <c r="D92" s="10" t="s">
        <v>1453</v>
      </c>
      <c r="E92" s="10" t="s">
        <v>1560</v>
      </c>
    </row>
    <row r="93" customFormat="false" ht="15" hidden="false" customHeight="false" outlineLevel="0" collapsed="false">
      <c r="A93" s="23" t="s">
        <v>1404</v>
      </c>
      <c r="B93" s="10" t="s">
        <v>1658</v>
      </c>
      <c r="C93" s="10" t="n">
        <v>2025</v>
      </c>
      <c r="D93" s="10" t="s">
        <v>1453</v>
      </c>
      <c r="E93" s="10" t="s">
        <v>1560</v>
      </c>
    </row>
    <row r="94" customFormat="false" ht="15" hidden="false" customHeight="false" outlineLevel="0" collapsed="false">
      <c r="A94" s="23" t="s">
        <v>1659</v>
      </c>
      <c r="B94" s="10" t="s">
        <v>1660</v>
      </c>
      <c r="C94" s="10" t="n">
        <v>2023</v>
      </c>
      <c r="D94" s="10" t="s">
        <v>1453</v>
      </c>
      <c r="E94" s="10" t="s">
        <v>1560</v>
      </c>
    </row>
    <row r="95" customFormat="false" ht="23.85" hidden="false" customHeight="false" outlineLevel="0" collapsed="false">
      <c r="A95" s="23" t="s">
        <v>741</v>
      </c>
      <c r="B95" s="10" t="s">
        <v>1661</v>
      </c>
      <c r="C95" s="10" t="n">
        <v>2017</v>
      </c>
      <c r="D95" s="10" t="s">
        <v>1453</v>
      </c>
      <c r="E95" s="10" t="s">
        <v>1560</v>
      </c>
    </row>
    <row r="96" customFormat="false" ht="23.85" hidden="false" customHeight="false" outlineLevel="0" collapsed="false">
      <c r="A96" s="23" t="s">
        <v>229</v>
      </c>
      <c r="B96" s="10" t="s">
        <v>1662</v>
      </c>
      <c r="C96" s="10" t="n">
        <v>2021</v>
      </c>
      <c r="D96" s="10" t="s">
        <v>1453</v>
      </c>
      <c r="E96" s="10" t="s">
        <v>1560</v>
      </c>
    </row>
    <row r="97" customFormat="false" ht="23.85" hidden="false" customHeight="false" outlineLevel="0" collapsed="false">
      <c r="A97" s="23" t="s">
        <v>329</v>
      </c>
      <c r="B97" s="10" t="s">
        <v>1663</v>
      </c>
      <c r="C97" s="10" t="n">
        <v>2021</v>
      </c>
      <c r="D97" s="10" t="s">
        <v>1453</v>
      </c>
      <c r="E97" s="10" t="s">
        <v>1560</v>
      </c>
    </row>
    <row r="98" customFormat="false" ht="15" hidden="false" customHeight="false" outlineLevel="0" collapsed="false">
      <c r="A98" s="23" t="s">
        <v>190</v>
      </c>
      <c r="B98" s="10" t="s">
        <v>1664</v>
      </c>
      <c r="C98" s="10" t="n">
        <v>2020</v>
      </c>
      <c r="D98" s="10" t="s">
        <v>1453</v>
      </c>
      <c r="E98" s="10" t="s">
        <v>1560</v>
      </c>
    </row>
    <row r="99" customFormat="false" ht="23.85" hidden="false" customHeight="false" outlineLevel="0" collapsed="false">
      <c r="A99" s="23" t="s">
        <v>886</v>
      </c>
      <c r="B99" s="10" t="s">
        <v>1665</v>
      </c>
      <c r="C99" s="10" t="n">
        <v>2006</v>
      </c>
      <c r="D99" s="10" t="s">
        <v>1453</v>
      </c>
      <c r="E99" s="10" t="s">
        <v>1560</v>
      </c>
    </row>
    <row r="100" customFormat="false" ht="15" hidden="false" customHeight="false" outlineLevel="0" collapsed="false">
      <c r="A100" s="23" t="s">
        <v>343</v>
      </c>
      <c r="B100" s="10" t="s">
        <v>1666</v>
      </c>
      <c r="C100" s="10" t="n">
        <v>2006</v>
      </c>
      <c r="D100" s="10" t="s">
        <v>1453</v>
      </c>
      <c r="E100" s="10" t="s">
        <v>1560</v>
      </c>
    </row>
    <row r="101" customFormat="false" ht="15" hidden="false" customHeight="false" outlineLevel="0" collapsed="false">
      <c r="A101" s="23" t="s">
        <v>262</v>
      </c>
      <c r="B101" s="10" t="s">
        <v>1667</v>
      </c>
      <c r="C101" s="10" t="n">
        <v>2006</v>
      </c>
      <c r="D101" s="10" t="s">
        <v>1453</v>
      </c>
      <c r="E101" s="10" t="s">
        <v>1560</v>
      </c>
    </row>
    <row r="102" customFormat="false" ht="23.85" hidden="false" customHeight="false" outlineLevel="0" collapsed="false">
      <c r="A102" s="23" t="s">
        <v>515</v>
      </c>
      <c r="B102" s="10" t="s">
        <v>1668</v>
      </c>
      <c r="C102" s="10" t="n">
        <v>1999</v>
      </c>
      <c r="D102" s="10" t="s">
        <v>1453</v>
      </c>
      <c r="E102" s="10" t="s">
        <v>1560</v>
      </c>
    </row>
    <row r="103" customFormat="false" ht="23.85" hidden="false" customHeight="false" outlineLevel="0" collapsed="false">
      <c r="A103" s="23" t="s">
        <v>534</v>
      </c>
      <c r="B103" s="10" t="s">
        <v>1669</v>
      </c>
      <c r="C103" s="10" t="n">
        <v>2016</v>
      </c>
      <c r="D103" s="10" t="s">
        <v>1453</v>
      </c>
      <c r="E103" s="10" t="s">
        <v>1560</v>
      </c>
    </row>
    <row r="104" customFormat="false" ht="23.85" hidden="false" customHeight="false" outlineLevel="0" collapsed="false">
      <c r="A104" s="23" t="s">
        <v>375</v>
      </c>
      <c r="B104" s="10" t="s">
        <v>1670</v>
      </c>
      <c r="C104" s="10" t="n">
        <v>2016</v>
      </c>
      <c r="D104" s="10" t="s">
        <v>1453</v>
      </c>
      <c r="E104" s="10" t="s">
        <v>1560</v>
      </c>
    </row>
    <row r="105" customFormat="false" ht="23.85" hidden="false" customHeight="false" outlineLevel="0" collapsed="false">
      <c r="A105" s="23" t="s">
        <v>827</v>
      </c>
      <c r="B105" s="10" t="s">
        <v>1671</v>
      </c>
      <c r="C105" s="10" t="n">
        <v>2019</v>
      </c>
      <c r="D105" s="10" t="s">
        <v>1453</v>
      </c>
      <c r="E105" s="10" t="s">
        <v>1560</v>
      </c>
    </row>
    <row r="106" customFormat="false" ht="23.85" hidden="false" customHeight="false" outlineLevel="0" collapsed="false">
      <c r="A106" s="23" t="s">
        <v>577</v>
      </c>
      <c r="B106" s="10" t="s">
        <v>1672</v>
      </c>
      <c r="C106" s="10" t="n">
        <v>2016</v>
      </c>
      <c r="D106" s="10" t="s">
        <v>1453</v>
      </c>
      <c r="E106" s="10" t="s">
        <v>1560</v>
      </c>
    </row>
    <row r="107" customFormat="false" ht="23.85" hidden="false" customHeight="false" outlineLevel="0" collapsed="false">
      <c r="A107" s="23" t="s">
        <v>1006</v>
      </c>
      <c r="B107" s="10" t="s">
        <v>1673</v>
      </c>
      <c r="C107" s="10" t="n">
        <v>2026</v>
      </c>
      <c r="D107" s="10" t="s">
        <v>1453</v>
      </c>
      <c r="E107" s="10" t="s">
        <v>1560</v>
      </c>
    </row>
    <row r="108" customFormat="false" ht="23.85" hidden="false" customHeight="false" outlineLevel="0" collapsed="false">
      <c r="A108" s="23" t="s">
        <v>769</v>
      </c>
      <c r="B108" s="10" t="s">
        <v>1674</v>
      </c>
      <c r="C108" s="10" t="n">
        <v>2000</v>
      </c>
      <c r="D108" s="10" t="s">
        <v>1453</v>
      </c>
      <c r="E108" s="10" t="s">
        <v>1560</v>
      </c>
    </row>
    <row r="109" customFormat="false" ht="23.85" hidden="false" customHeight="false" outlineLevel="0" collapsed="false">
      <c r="A109" s="23" t="s">
        <v>474</v>
      </c>
      <c r="B109" s="10" t="s">
        <v>1675</v>
      </c>
      <c r="C109" s="10" t="n">
        <v>2001</v>
      </c>
      <c r="D109" s="10" t="s">
        <v>1453</v>
      </c>
      <c r="E109" s="10" t="s">
        <v>1560</v>
      </c>
    </row>
    <row r="110" customFormat="false" ht="23.85" hidden="false" customHeight="false" outlineLevel="0" collapsed="false">
      <c r="A110" s="23" t="s">
        <v>1255</v>
      </c>
      <c r="B110" s="10" t="s">
        <v>1676</v>
      </c>
      <c r="C110" s="10" t="n">
        <v>2002</v>
      </c>
      <c r="D110" s="10" t="s">
        <v>1453</v>
      </c>
      <c r="E110" s="10" t="s">
        <v>1560</v>
      </c>
    </row>
    <row r="111" customFormat="false" ht="23.85" hidden="false" customHeight="false" outlineLevel="0" collapsed="false">
      <c r="A111" s="23" t="s">
        <v>905</v>
      </c>
      <c r="B111" s="10" t="s">
        <v>1677</v>
      </c>
      <c r="C111" s="10" t="n">
        <v>2006</v>
      </c>
      <c r="D111" s="10" t="s">
        <v>1453</v>
      </c>
      <c r="E111" s="10" t="s">
        <v>1560</v>
      </c>
    </row>
    <row r="112" customFormat="false" ht="15" hidden="false" customHeight="false" outlineLevel="0" collapsed="false">
      <c r="A112" s="23" t="s">
        <v>495</v>
      </c>
      <c r="B112" s="10" t="s">
        <v>1678</v>
      </c>
      <c r="C112" s="10" t="n">
        <v>2008</v>
      </c>
      <c r="D112" s="10" t="s">
        <v>1453</v>
      </c>
      <c r="E112" s="10" t="s">
        <v>1560</v>
      </c>
    </row>
    <row r="113" customFormat="false" ht="23.85" hidden="false" customHeight="false" outlineLevel="0" collapsed="false">
      <c r="A113" s="23" t="s">
        <v>1679</v>
      </c>
      <c r="B113" s="10" t="s">
        <v>1680</v>
      </c>
      <c r="C113" s="10" t="n">
        <v>2000</v>
      </c>
      <c r="D113" s="10" t="s">
        <v>1453</v>
      </c>
      <c r="E113" s="10" t="s">
        <v>1560</v>
      </c>
    </row>
    <row r="114" customFormat="false" ht="23.85" hidden="false" customHeight="false" outlineLevel="0" collapsed="false">
      <c r="A114" s="23" t="s">
        <v>1283</v>
      </c>
      <c r="B114" s="10" t="s">
        <v>1681</v>
      </c>
      <c r="C114" s="10" t="n">
        <v>2014</v>
      </c>
      <c r="D114" s="10" t="s">
        <v>1453</v>
      </c>
      <c r="E114" s="10" t="s">
        <v>1560</v>
      </c>
    </row>
    <row r="115" customFormat="false" ht="23.85" hidden="false" customHeight="false" outlineLevel="0" collapsed="false">
      <c r="A115" s="23" t="s">
        <v>1155</v>
      </c>
      <c r="B115" s="10" t="s">
        <v>1682</v>
      </c>
      <c r="C115" s="10" t="n">
        <v>2023</v>
      </c>
      <c r="D115" s="10" t="s">
        <v>1453</v>
      </c>
      <c r="E115" s="10" t="s">
        <v>1560</v>
      </c>
    </row>
    <row r="116" customFormat="false" ht="23.85" hidden="false" customHeight="false" outlineLevel="0" collapsed="false">
      <c r="A116" s="23" t="s">
        <v>1048</v>
      </c>
      <c r="B116" s="10" t="s">
        <v>1683</v>
      </c>
      <c r="C116" s="10" t="n">
        <v>1996</v>
      </c>
      <c r="D116" s="10" t="s">
        <v>1453</v>
      </c>
      <c r="E116" s="10" t="s">
        <v>1560</v>
      </c>
    </row>
    <row r="117" customFormat="false" ht="23.85" hidden="false" customHeight="false" outlineLevel="0" collapsed="false">
      <c r="A117" s="23" t="s">
        <v>713</v>
      </c>
      <c r="B117" s="10" t="s">
        <v>1684</v>
      </c>
      <c r="C117" s="10" t="n">
        <v>1996</v>
      </c>
      <c r="D117" s="10" t="s">
        <v>1453</v>
      </c>
      <c r="E117" s="10" t="s">
        <v>1560</v>
      </c>
    </row>
    <row r="118" customFormat="false" ht="23.85" hidden="false" customHeight="false" outlineLevel="0" collapsed="false">
      <c r="A118" s="23" t="s">
        <v>1017</v>
      </c>
      <c r="B118" s="10" t="s">
        <v>1685</v>
      </c>
      <c r="C118" s="10" t="n">
        <v>1998</v>
      </c>
      <c r="D118" s="10" t="s">
        <v>1453</v>
      </c>
      <c r="E118" s="10" t="s">
        <v>1560</v>
      </c>
    </row>
    <row r="119" customFormat="false" ht="35.05" hidden="false" customHeight="false" outlineLevel="0" collapsed="false">
      <c r="A119" s="23" t="s">
        <v>982</v>
      </c>
      <c r="B119" s="10" t="s">
        <v>1686</v>
      </c>
      <c r="C119" s="10" t="n">
        <v>1998</v>
      </c>
      <c r="D119" s="10" t="s">
        <v>1453</v>
      </c>
      <c r="E119" s="10" t="s">
        <v>1560</v>
      </c>
    </row>
    <row r="120" customFormat="false" ht="23.85" hidden="false" customHeight="false" outlineLevel="0" collapsed="false">
      <c r="A120" s="23" t="s">
        <v>1687</v>
      </c>
      <c r="B120" s="10" t="s">
        <v>1688</v>
      </c>
      <c r="C120" s="10" t="n">
        <v>2000</v>
      </c>
      <c r="D120" s="10" t="s">
        <v>1453</v>
      </c>
      <c r="E120" s="10" t="s">
        <v>1560</v>
      </c>
    </row>
    <row r="121" customFormat="false" ht="23.85" hidden="false" customHeight="false" outlineLevel="0" collapsed="false">
      <c r="A121" s="23" t="s">
        <v>1689</v>
      </c>
      <c r="B121" s="10" t="s">
        <v>1690</v>
      </c>
      <c r="C121" s="10" t="n">
        <v>2016</v>
      </c>
      <c r="D121" s="10" t="s">
        <v>1453</v>
      </c>
      <c r="E121" s="10" t="s">
        <v>1560</v>
      </c>
    </row>
    <row r="122" customFormat="false" ht="15" hidden="false" customHeight="false" outlineLevel="0" collapsed="false">
      <c r="A122" s="23" t="s">
        <v>1317</v>
      </c>
      <c r="B122" s="10" t="s">
        <v>1691</v>
      </c>
      <c r="C122" s="10" t="n">
        <v>2002</v>
      </c>
      <c r="D122" s="10" t="s">
        <v>1453</v>
      </c>
      <c r="E122" s="10" t="s">
        <v>1560</v>
      </c>
    </row>
    <row r="123" customFormat="false" ht="23.85" hidden="false" customHeight="false" outlineLevel="0" collapsed="false">
      <c r="A123" s="23" t="s">
        <v>785</v>
      </c>
      <c r="B123" s="10" t="s">
        <v>1692</v>
      </c>
      <c r="C123" s="10" t="n">
        <v>2002</v>
      </c>
      <c r="D123" s="10" t="s">
        <v>1453</v>
      </c>
      <c r="E123" s="10" t="s">
        <v>1560</v>
      </c>
    </row>
    <row r="124" customFormat="false" ht="23.85" hidden="false" customHeight="false" outlineLevel="0" collapsed="false">
      <c r="A124" s="23" t="s">
        <v>598</v>
      </c>
      <c r="B124" s="10" t="s">
        <v>1693</v>
      </c>
      <c r="C124" s="10" t="n">
        <v>2012</v>
      </c>
      <c r="D124" s="10" t="s">
        <v>1453</v>
      </c>
      <c r="E124" s="10" t="s">
        <v>1560</v>
      </c>
    </row>
    <row r="125" customFormat="false" ht="23.85" hidden="false" customHeight="false" outlineLevel="0" collapsed="false">
      <c r="A125" s="23" t="s">
        <v>987</v>
      </c>
      <c r="B125" s="10" t="s">
        <v>1694</v>
      </c>
      <c r="C125" s="10" t="n">
        <v>2012</v>
      </c>
      <c r="D125" s="10" t="s">
        <v>1453</v>
      </c>
      <c r="E125" s="10" t="s">
        <v>1560</v>
      </c>
    </row>
    <row r="126" customFormat="false" ht="23.85" hidden="false" customHeight="false" outlineLevel="0" collapsed="false">
      <c r="A126" s="23" t="s">
        <v>647</v>
      </c>
      <c r="B126" s="10" t="s">
        <v>1695</v>
      </c>
      <c r="C126" s="10" t="n">
        <v>2012</v>
      </c>
      <c r="D126" s="10" t="s">
        <v>1453</v>
      </c>
      <c r="E126" s="10" t="s">
        <v>1560</v>
      </c>
    </row>
    <row r="127" customFormat="false" ht="23.85" hidden="false" customHeight="false" outlineLevel="0" collapsed="false">
      <c r="A127" s="23" t="s">
        <v>1301</v>
      </c>
      <c r="B127" s="10" t="s">
        <v>1696</v>
      </c>
      <c r="C127" s="10" t="n">
        <v>2013</v>
      </c>
      <c r="D127" s="10" t="s">
        <v>1453</v>
      </c>
      <c r="E127" s="10" t="s">
        <v>1560</v>
      </c>
    </row>
    <row r="128" customFormat="false" ht="23.85" hidden="false" customHeight="false" outlineLevel="0" collapsed="false">
      <c r="A128" s="23" t="s">
        <v>1697</v>
      </c>
      <c r="B128" s="10" t="s">
        <v>1698</v>
      </c>
      <c r="C128" s="10" t="n">
        <v>2016</v>
      </c>
      <c r="D128" s="10" t="s">
        <v>1453</v>
      </c>
      <c r="E128" s="10" t="s">
        <v>1699</v>
      </c>
    </row>
    <row r="129" customFormat="false" ht="15" hidden="false" customHeight="false" outlineLevel="0" collapsed="false">
      <c r="A129" s="23" t="s">
        <v>529</v>
      </c>
      <c r="B129" s="10" t="s">
        <v>1700</v>
      </c>
      <c r="C129" s="10" t="n">
        <v>2002</v>
      </c>
      <c r="D129" s="10" t="s">
        <v>1453</v>
      </c>
      <c r="E129" s="10" t="s">
        <v>1560</v>
      </c>
    </row>
    <row r="130" customFormat="false" ht="23.85" hidden="false" customHeight="false" outlineLevel="0" collapsed="false">
      <c r="A130" s="23" t="s">
        <v>1028</v>
      </c>
      <c r="B130" s="10" t="s">
        <v>1701</v>
      </c>
      <c r="C130" s="10" t="n">
        <v>2003</v>
      </c>
      <c r="D130" s="10" t="s">
        <v>1453</v>
      </c>
      <c r="E130" s="10" t="s">
        <v>1560</v>
      </c>
    </row>
    <row r="131" customFormat="false" ht="15" hidden="false" customHeight="false" outlineLevel="0" collapsed="false">
      <c r="A131" s="23" t="s">
        <v>1058</v>
      </c>
      <c r="B131" s="10" t="s">
        <v>1702</v>
      </c>
      <c r="C131" s="10" t="n">
        <v>2004</v>
      </c>
      <c r="D131" s="10" t="s">
        <v>1453</v>
      </c>
      <c r="E131" s="10" t="s">
        <v>1560</v>
      </c>
    </row>
    <row r="132" customFormat="false" ht="23.85" hidden="false" customHeight="false" outlineLevel="0" collapsed="false">
      <c r="A132" s="23" t="s">
        <v>416</v>
      </c>
      <c r="B132" s="10" t="s">
        <v>1703</v>
      </c>
      <c r="C132" s="10" t="n">
        <v>2005</v>
      </c>
      <c r="D132" s="10" t="s">
        <v>1453</v>
      </c>
      <c r="E132" s="10" t="s">
        <v>1560</v>
      </c>
    </row>
    <row r="133" customFormat="false" ht="23.85" hidden="false" customHeight="false" outlineLevel="0" collapsed="false">
      <c r="A133" s="23" t="s">
        <v>589</v>
      </c>
      <c r="B133" s="10" t="s">
        <v>1704</v>
      </c>
      <c r="C133" s="10" t="n">
        <v>2006</v>
      </c>
      <c r="D133" s="10" t="s">
        <v>1453</v>
      </c>
      <c r="E133" s="10" t="s">
        <v>1560</v>
      </c>
    </row>
    <row r="134" customFormat="false" ht="23.85" hidden="false" customHeight="false" outlineLevel="0" collapsed="false">
      <c r="A134" s="23" t="s">
        <v>1224</v>
      </c>
      <c r="B134" s="10" t="s">
        <v>1705</v>
      </c>
      <c r="C134" s="10" t="n">
        <v>2006</v>
      </c>
      <c r="D134" s="10" t="s">
        <v>1453</v>
      </c>
      <c r="E134" s="10" t="s">
        <v>1560</v>
      </c>
    </row>
    <row r="135" customFormat="false" ht="23.85" hidden="false" customHeight="false" outlineLevel="0" collapsed="false">
      <c r="A135" s="23" t="s">
        <v>1024</v>
      </c>
      <c r="B135" s="10" t="s">
        <v>1706</v>
      </c>
      <c r="C135" s="10" t="n">
        <v>2007</v>
      </c>
      <c r="D135" s="10" t="s">
        <v>1453</v>
      </c>
      <c r="E135" s="10" t="s">
        <v>1560</v>
      </c>
    </row>
    <row r="136" customFormat="false" ht="15" hidden="false" customHeight="false" outlineLevel="0" collapsed="false">
      <c r="A136" s="23" t="s">
        <v>561</v>
      </c>
      <c r="B136" s="10" t="s">
        <v>1707</v>
      </c>
      <c r="C136" s="10" t="n">
        <v>2007</v>
      </c>
      <c r="D136" s="10" t="s">
        <v>1453</v>
      </c>
      <c r="E136" s="10" t="s">
        <v>1560</v>
      </c>
    </row>
    <row r="137" customFormat="false" ht="15" hidden="false" customHeight="false" outlineLevel="0" collapsed="false">
      <c r="A137" s="23" t="s">
        <v>1328</v>
      </c>
      <c r="B137" s="10" t="s">
        <v>1708</v>
      </c>
      <c r="C137" s="10" t="n">
        <v>2008</v>
      </c>
      <c r="D137" s="10" t="s">
        <v>1453</v>
      </c>
      <c r="E137" s="10" t="s">
        <v>1560</v>
      </c>
    </row>
    <row r="138" customFormat="false" ht="23.85" hidden="false" customHeight="false" outlineLevel="0" collapsed="false">
      <c r="A138" s="23" t="s">
        <v>1400</v>
      </c>
      <c r="B138" s="10" t="s">
        <v>1709</v>
      </c>
      <c r="C138" s="10" t="n">
        <v>2008</v>
      </c>
      <c r="D138" s="10" t="s">
        <v>1453</v>
      </c>
      <c r="E138" s="10" t="s">
        <v>1560</v>
      </c>
    </row>
    <row r="139" customFormat="false" ht="15" hidden="false" customHeight="false" outlineLevel="0" collapsed="false">
      <c r="A139" s="23" t="s">
        <v>1321</v>
      </c>
      <c r="B139" s="10" t="s">
        <v>1710</v>
      </c>
      <c r="C139" s="10" t="n">
        <v>2009</v>
      </c>
      <c r="D139" s="10" t="s">
        <v>1453</v>
      </c>
      <c r="E139" s="10" t="s">
        <v>1560</v>
      </c>
    </row>
    <row r="140" customFormat="false" ht="23.85" hidden="false" customHeight="false" outlineLevel="0" collapsed="false">
      <c r="A140" s="23" t="s">
        <v>794</v>
      </c>
      <c r="B140" s="10" t="s">
        <v>1711</v>
      </c>
      <c r="C140" s="10" t="n">
        <v>2020</v>
      </c>
      <c r="D140" s="10" t="s">
        <v>1453</v>
      </c>
      <c r="E140" s="10" t="s">
        <v>1560</v>
      </c>
    </row>
    <row r="141" customFormat="false" ht="23.85" hidden="false" customHeight="false" outlineLevel="0" collapsed="false">
      <c r="A141" s="23" t="s">
        <v>865</v>
      </c>
      <c r="B141" s="10" t="s">
        <v>1712</v>
      </c>
      <c r="C141" s="10" t="n">
        <v>2021</v>
      </c>
      <c r="D141" s="10" t="s">
        <v>1453</v>
      </c>
      <c r="E141" s="10" t="s">
        <v>1560</v>
      </c>
    </row>
    <row r="142" customFormat="false" ht="15" hidden="false" customHeight="false" outlineLevel="0" collapsed="false">
      <c r="A142" s="23" t="s">
        <v>454</v>
      </c>
      <c r="B142" s="10" t="s">
        <v>1713</v>
      </c>
      <c r="C142" s="10" t="n">
        <v>2002</v>
      </c>
      <c r="D142" s="10" t="s">
        <v>1453</v>
      </c>
      <c r="E142" s="10" t="s">
        <v>1560</v>
      </c>
    </row>
    <row r="143" customFormat="false" ht="23.85" hidden="false" customHeight="false" outlineLevel="0" collapsed="false">
      <c r="A143" s="23" t="s">
        <v>405</v>
      </c>
      <c r="B143" s="10" t="s">
        <v>1714</v>
      </c>
      <c r="C143" s="10" t="n">
        <v>2003</v>
      </c>
      <c r="D143" s="10" t="s">
        <v>1453</v>
      </c>
      <c r="E143" s="10" t="s">
        <v>1560</v>
      </c>
    </row>
    <row r="144" customFormat="false" ht="23.85" hidden="false" customHeight="false" outlineLevel="0" collapsed="false">
      <c r="A144" s="23" t="s">
        <v>1197</v>
      </c>
      <c r="B144" s="10" t="s">
        <v>1715</v>
      </c>
      <c r="C144" s="10" t="n">
        <v>2004</v>
      </c>
      <c r="D144" s="10" t="s">
        <v>1453</v>
      </c>
      <c r="E144" s="10" t="s">
        <v>1560</v>
      </c>
    </row>
    <row r="145" customFormat="false" ht="23.85" hidden="false" customHeight="false" outlineLevel="0" collapsed="false">
      <c r="A145" s="23" t="s">
        <v>458</v>
      </c>
      <c r="B145" s="10" t="s">
        <v>1716</v>
      </c>
      <c r="C145" s="10" t="n">
        <v>2008</v>
      </c>
      <c r="D145" s="10" t="s">
        <v>1453</v>
      </c>
      <c r="E145" s="10" t="s">
        <v>1560</v>
      </c>
    </row>
    <row r="146" customFormat="false" ht="23.85" hidden="false" customHeight="false" outlineLevel="0" collapsed="false">
      <c r="A146" s="23" t="s">
        <v>1099</v>
      </c>
      <c r="B146" s="10" t="s">
        <v>1717</v>
      </c>
      <c r="C146" s="10" t="n">
        <v>2011</v>
      </c>
      <c r="D146" s="10" t="s">
        <v>1453</v>
      </c>
      <c r="E146" s="10" t="s">
        <v>1560</v>
      </c>
    </row>
    <row r="147" customFormat="false" ht="15" hidden="false" customHeight="false" outlineLevel="0" collapsed="false">
      <c r="A147" s="23" t="s">
        <v>1363</v>
      </c>
      <c r="B147" s="10" t="s">
        <v>1718</v>
      </c>
      <c r="C147" s="10" t="n">
        <v>2005</v>
      </c>
      <c r="D147" s="10" t="s">
        <v>1453</v>
      </c>
      <c r="E147" s="10" t="s">
        <v>1560</v>
      </c>
    </row>
    <row r="148" customFormat="false" ht="23.85" hidden="false" customHeight="false" outlineLevel="0" collapsed="false">
      <c r="A148" s="23" t="s">
        <v>1103</v>
      </c>
      <c r="B148" s="10" t="s">
        <v>1719</v>
      </c>
      <c r="C148" s="10" t="n">
        <v>2007</v>
      </c>
      <c r="D148" s="10" t="s">
        <v>1453</v>
      </c>
      <c r="E148" s="10" t="s">
        <v>1560</v>
      </c>
    </row>
    <row r="149" customFormat="false" ht="23.85" hidden="false" customHeight="false" outlineLevel="0" collapsed="false">
      <c r="A149" s="23" t="s">
        <v>1290</v>
      </c>
      <c r="B149" s="10" t="s">
        <v>1720</v>
      </c>
      <c r="C149" s="10" t="n">
        <v>2009</v>
      </c>
      <c r="D149" s="10" t="s">
        <v>1453</v>
      </c>
      <c r="E149" s="10" t="s">
        <v>1560</v>
      </c>
    </row>
    <row r="150" customFormat="false" ht="23.85" hidden="false" customHeight="false" outlineLevel="0" collapsed="false">
      <c r="A150" s="23" t="s">
        <v>1246</v>
      </c>
      <c r="B150" s="10" t="s">
        <v>1721</v>
      </c>
      <c r="C150" s="10" t="n">
        <v>2014</v>
      </c>
      <c r="D150" s="10" t="s">
        <v>1453</v>
      </c>
      <c r="E150" s="10" t="s">
        <v>1560</v>
      </c>
    </row>
    <row r="151" customFormat="false" ht="23.85" hidden="false" customHeight="false" outlineLevel="0" collapsed="false">
      <c r="A151" s="23" t="s">
        <v>1052</v>
      </c>
      <c r="B151" s="10" t="s">
        <v>1722</v>
      </c>
      <c r="C151" s="10" t="n">
        <v>1998</v>
      </c>
      <c r="D151" s="10" t="s">
        <v>1453</v>
      </c>
      <c r="E151" s="10" t="s">
        <v>1560</v>
      </c>
    </row>
    <row r="152" customFormat="false" ht="15" hidden="false" customHeight="false" outlineLevel="0" collapsed="false">
      <c r="A152" s="23" t="s">
        <v>1407</v>
      </c>
      <c r="B152" s="10" t="s">
        <v>1723</v>
      </c>
      <c r="C152" s="10" t="n">
        <v>2014</v>
      </c>
      <c r="D152" s="10" t="s">
        <v>1453</v>
      </c>
      <c r="E152" s="10" t="s">
        <v>1560</v>
      </c>
    </row>
    <row r="153" customFormat="false" ht="23.85" hidden="false" customHeight="false" outlineLevel="0" collapsed="false">
      <c r="A153" s="23" t="s">
        <v>1332</v>
      </c>
      <c r="B153" s="10" t="s">
        <v>1724</v>
      </c>
      <c r="C153" s="10" t="n">
        <v>2019</v>
      </c>
      <c r="D153" s="10" t="s">
        <v>1453</v>
      </c>
      <c r="E153" s="10" t="s">
        <v>1560</v>
      </c>
    </row>
    <row r="154" customFormat="false" ht="23.85" hidden="false" customHeight="false" outlineLevel="0" collapsed="false">
      <c r="A154" s="23" t="s">
        <v>521</v>
      </c>
      <c r="B154" s="10" t="s">
        <v>1725</v>
      </c>
      <c r="C154" s="10" t="n">
        <v>2005</v>
      </c>
      <c r="D154" s="10" t="s">
        <v>1453</v>
      </c>
      <c r="E154" s="10" t="s">
        <v>1560</v>
      </c>
    </row>
    <row r="155" customFormat="false" ht="23.85" hidden="false" customHeight="false" outlineLevel="0" collapsed="false">
      <c r="A155" s="23" t="s">
        <v>993</v>
      </c>
      <c r="B155" s="10" t="s">
        <v>1726</v>
      </c>
      <c r="C155" s="10" t="n">
        <v>2016</v>
      </c>
      <c r="D155" s="10" t="s">
        <v>1453</v>
      </c>
      <c r="E155" s="10" t="s">
        <v>1560</v>
      </c>
    </row>
    <row r="156" customFormat="false" ht="23.85" hidden="false" customHeight="false" outlineLevel="0" collapsed="false">
      <c r="A156" s="23" t="s">
        <v>1241</v>
      </c>
      <c r="B156" s="10" t="s">
        <v>1727</v>
      </c>
      <c r="C156" s="10" t="n">
        <v>2016</v>
      </c>
      <c r="D156" s="10" t="s">
        <v>1453</v>
      </c>
      <c r="E156" s="10" t="s">
        <v>1560</v>
      </c>
    </row>
    <row r="157" customFormat="false" ht="15" hidden="false" customHeight="false" outlineLevel="0" collapsed="false">
      <c r="A157" s="23" t="s">
        <v>625</v>
      </c>
      <c r="B157" s="10" t="s">
        <v>1728</v>
      </c>
      <c r="C157" s="10" t="n">
        <v>2004</v>
      </c>
      <c r="D157" s="10" t="s">
        <v>1453</v>
      </c>
      <c r="E157" s="10" t="s">
        <v>1560</v>
      </c>
    </row>
    <row r="158" customFormat="false" ht="23.85" hidden="false" customHeight="false" outlineLevel="0" collapsed="false">
      <c r="A158" s="23" t="s">
        <v>553</v>
      </c>
      <c r="B158" s="10" t="s">
        <v>1729</v>
      </c>
      <c r="C158" s="10" t="n">
        <v>2006</v>
      </c>
      <c r="D158" s="10" t="s">
        <v>1453</v>
      </c>
      <c r="E158" s="10" t="s">
        <v>1560</v>
      </c>
    </row>
    <row r="159" customFormat="false" ht="23.85" hidden="false" customHeight="false" outlineLevel="0" collapsed="false">
      <c r="A159" s="23" t="s">
        <v>895</v>
      </c>
      <c r="B159" s="10" t="s">
        <v>1730</v>
      </c>
      <c r="C159" s="10" t="n">
        <v>2013</v>
      </c>
      <c r="D159" s="10" t="s">
        <v>1453</v>
      </c>
      <c r="E159" s="10" t="s">
        <v>1560</v>
      </c>
    </row>
    <row r="160" customFormat="false" ht="15" hidden="false" customHeight="false" outlineLevel="0" collapsed="false">
      <c r="A160" s="23" t="s">
        <v>1262</v>
      </c>
      <c r="B160" s="10" t="s">
        <v>1731</v>
      </c>
      <c r="C160" s="10" t="n">
        <v>2009</v>
      </c>
      <c r="D160" s="10" t="s">
        <v>1453</v>
      </c>
      <c r="E160" s="10" t="s">
        <v>1560</v>
      </c>
    </row>
    <row r="161" customFormat="false" ht="46.25" hidden="false" customHeight="false" outlineLevel="0" collapsed="false">
      <c r="A161" s="23" t="s">
        <v>1337</v>
      </c>
      <c r="B161" s="10" t="s">
        <v>1732</v>
      </c>
      <c r="C161" s="10" t="n">
        <v>2018</v>
      </c>
      <c r="D161" s="10" t="s">
        <v>1453</v>
      </c>
      <c r="E161" s="10" t="s">
        <v>1560</v>
      </c>
    </row>
    <row r="162" customFormat="false" ht="35.05" hidden="false" customHeight="false" outlineLevel="0" collapsed="false">
      <c r="A162" s="23" t="s">
        <v>841</v>
      </c>
      <c r="B162" s="10" t="s">
        <v>1733</v>
      </c>
      <c r="C162" s="10" t="n">
        <v>2023</v>
      </c>
      <c r="D162" s="10" t="s">
        <v>1453</v>
      </c>
      <c r="E162" s="10" t="s">
        <v>1560</v>
      </c>
    </row>
    <row r="163" customFormat="false" ht="15" hidden="false" customHeight="false" outlineLevel="0" collapsed="false">
      <c r="A163" s="23" t="s">
        <v>1374</v>
      </c>
      <c r="B163" s="10" t="s">
        <v>1734</v>
      </c>
      <c r="C163" s="10" t="n">
        <v>2005</v>
      </c>
      <c r="D163" s="10" t="s">
        <v>1453</v>
      </c>
      <c r="E163" s="10" t="s">
        <v>1560</v>
      </c>
    </row>
    <row r="164" customFormat="false" ht="23.85" hidden="false" customHeight="false" outlineLevel="0" collapsed="false">
      <c r="A164" s="23" t="s">
        <v>365</v>
      </c>
      <c r="B164" s="10" t="s">
        <v>1735</v>
      </c>
      <c r="C164" s="10" t="n">
        <v>2009</v>
      </c>
      <c r="D164" s="10" t="s">
        <v>1453</v>
      </c>
      <c r="E164" s="10" t="s">
        <v>1560</v>
      </c>
    </row>
    <row r="165" customFormat="false" ht="15" hidden="false" customHeight="false" outlineLevel="0" collapsed="false">
      <c r="A165" s="23" t="s">
        <v>1345</v>
      </c>
      <c r="B165" s="10" t="s">
        <v>1736</v>
      </c>
      <c r="C165" s="10" t="n">
        <v>2012</v>
      </c>
      <c r="D165" s="10" t="s">
        <v>1453</v>
      </c>
      <c r="E165" s="10" t="s">
        <v>1560</v>
      </c>
    </row>
    <row r="166" customFormat="false" ht="23.85" hidden="false" customHeight="false" outlineLevel="0" collapsed="false">
      <c r="A166" s="23" t="s">
        <v>94</v>
      </c>
      <c r="B166" s="10" t="s">
        <v>1737</v>
      </c>
      <c r="C166" s="10" t="n">
        <v>2023</v>
      </c>
      <c r="D166" s="10" t="s">
        <v>1453</v>
      </c>
      <c r="E166" s="10" t="s">
        <v>1560</v>
      </c>
    </row>
    <row r="167" customFormat="false" ht="35.05" hidden="false" customHeight="false" outlineLevel="0" collapsed="false">
      <c r="A167" s="23" t="s">
        <v>469</v>
      </c>
      <c r="B167" s="10" t="s">
        <v>1738</v>
      </c>
      <c r="C167" s="10" t="n">
        <v>2009</v>
      </c>
      <c r="D167" s="10" t="s">
        <v>1453</v>
      </c>
      <c r="E167" s="10" t="s">
        <v>1560</v>
      </c>
    </row>
    <row r="168" customFormat="false" ht="23.85" hidden="false" customHeight="false" outlineLevel="0" collapsed="false">
      <c r="A168" s="23" t="s">
        <v>609</v>
      </c>
      <c r="B168" s="10" t="s">
        <v>1739</v>
      </c>
      <c r="C168" s="10" t="n">
        <v>2002</v>
      </c>
      <c r="D168" s="10" t="s">
        <v>1453</v>
      </c>
      <c r="E168" s="10" t="s">
        <v>1560</v>
      </c>
    </row>
    <row r="169" customFormat="false" ht="15" hidden="false" customHeight="false" outlineLevel="0" collapsed="false">
      <c r="A169" s="23" t="s">
        <v>695</v>
      </c>
      <c r="B169" s="10" t="s">
        <v>1740</v>
      </c>
      <c r="C169" s="10" t="n">
        <v>2009</v>
      </c>
      <c r="D169" s="10" t="s">
        <v>1453</v>
      </c>
      <c r="E169" s="10" t="s">
        <v>1560</v>
      </c>
    </row>
    <row r="170" customFormat="false" ht="23.85" hidden="false" customHeight="false" outlineLevel="0" collapsed="false">
      <c r="A170" s="23" t="s">
        <v>1036</v>
      </c>
      <c r="B170" s="10" t="s">
        <v>1741</v>
      </c>
      <c r="C170" s="10" t="n">
        <v>1996</v>
      </c>
      <c r="D170" s="10" t="s">
        <v>1453</v>
      </c>
      <c r="E170" s="10" t="s">
        <v>1560</v>
      </c>
    </row>
    <row r="171" customFormat="false" ht="23.85" hidden="false" customHeight="false" outlineLevel="0" collapsed="false">
      <c r="A171" s="23" t="s">
        <v>153</v>
      </c>
      <c r="B171" s="10" t="s">
        <v>1742</v>
      </c>
      <c r="C171" s="10" t="n">
        <v>1997</v>
      </c>
      <c r="D171" s="10" t="s">
        <v>1453</v>
      </c>
      <c r="E171" s="10" t="s">
        <v>1560</v>
      </c>
    </row>
    <row r="172" customFormat="false" ht="23.85" hidden="false" customHeight="false" outlineLevel="0" collapsed="false">
      <c r="A172" s="23" t="s">
        <v>661</v>
      </c>
      <c r="B172" s="10" t="s">
        <v>1743</v>
      </c>
      <c r="C172" s="10" t="n">
        <v>2007</v>
      </c>
      <c r="D172" s="10" t="s">
        <v>1453</v>
      </c>
      <c r="E172" s="10" t="s">
        <v>1560</v>
      </c>
    </row>
    <row r="173" customFormat="false" ht="15" hidden="false" customHeight="false" outlineLevel="0" collapsed="false">
      <c r="A173" s="23" t="s">
        <v>730</v>
      </c>
      <c r="B173" s="10" t="s">
        <v>1744</v>
      </c>
      <c r="C173" s="10" t="n">
        <v>2010</v>
      </c>
      <c r="D173" s="10" t="s">
        <v>1453</v>
      </c>
      <c r="E173" s="10" t="s">
        <v>1560</v>
      </c>
    </row>
    <row r="174" customFormat="false" ht="23.85" hidden="false" customHeight="false" outlineLevel="0" collapsed="false">
      <c r="A174" s="23" t="s">
        <v>926</v>
      </c>
      <c r="B174" s="10" t="s">
        <v>1745</v>
      </c>
      <c r="C174" s="10" t="n">
        <v>2010</v>
      </c>
      <c r="D174" s="10" t="s">
        <v>1453</v>
      </c>
      <c r="E174" s="10" t="s">
        <v>1560</v>
      </c>
    </row>
    <row r="175" customFormat="false" ht="23.85" hidden="false" customHeight="false" outlineLevel="0" collapsed="false">
      <c r="A175" s="23" t="s">
        <v>951</v>
      </c>
      <c r="B175" s="10" t="s">
        <v>1746</v>
      </c>
      <c r="C175" s="10" t="n">
        <v>2011</v>
      </c>
      <c r="D175" s="10" t="s">
        <v>1453</v>
      </c>
      <c r="E175" s="10" t="s">
        <v>1560</v>
      </c>
    </row>
    <row r="176" customFormat="false" ht="46.25" hidden="false" customHeight="false" outlineLevel="0" collapsed="false">
      <c r="A176" s="23" t="s">
        <v>1228</v>
      </c>
      <c r="B176" s="10" t="s">
        <v>1747</v>
      </c>
      <c r="C176" s="10" t="n">
        <v>2003</v>
      </c>
      <c r="D176" s="10" t="s">
        <v>1453</v>
      </c>
      <c r="E176" s="10" t="s">
        <v>1560</v>
      </c>
    </row>
    <row r="177" customFormat="false" ht="23.85" hidden="false" customHeight="false" outlineLevel="0" collapsed="false">
      <c r="A177" s="23" t="s">
        <v>1379</v>
      </c>
      <c r="B177" s="10" t="s">
        <v>1748</v>
      </c>
      <c r="C177" s="10" t="n">
        <v>2022</v>
      </c>
      <c r="D177" s="10" t="s">
        <v>1453</v>
      </c>
      <c r="E177" s="10" t="s">
        <v>1560</v>
      </c>
    </row>
    <row r="178" customFormat="false" ht="23.85" hidden="false" customHeight="false" outlineLevel="0" collapsed="false">
      <c r="A178" s="23" t="s">
        <v>1277</v>
      </c>
      <c r="B178" s="10" t="s">
        <v>1749</v>
      </c>
      <c r="C178" s="10" t="n">
        <v>2013</v>
      </c>
      <c r="D178" s="10" t="s">
        <v>1453</v>
      </c>
      <c r="E178" s="10" t="s">
        <v>1560</v>
      </c>
    </row>
    <row r="179" customFormat="false" ht="15" hidden="false" customHeight="false" outlineLevel="0" collapsed="false">
      <c r="A179" s="23" t="s">
        <v>899</v>
      </c>
      <c r="B179" s="10" t="s">
        <v>1750</v>
      </c>
      <c r="C179" s="10" t="n">
        <v>2021</v>
      </c>
      <c r="D179" s="10" t="s">
        <v>1453</v>
      </c>
      <c r="E179" s="10" t="s">
        <v>1560</v>
      </c>
    </row>
    <row r="180" customFormat="false" ht="35.05" hidden="false" customHeight="false" outlineLevel="0" collapsed="false">
      <c r="A180" s="23" t="s">
        <v>1751</v>
      </c>
      <c r="B180" s="10" t="s">
        <v>1752</v>
      </c>
      <c r="C180" s="10" t="n">
        <v>2022</v>
      </c>
      <c r="D180" s="10" t="s">
        <v>1453</v>
      </c>
      <c r="E180" s="10" t="s">
        <v>1753</v>
      </c>
    </row>
    <row r="181" customFormat="false" ht="35.05" hidden="false" customHeight="false" outlineLevel="0" collapsed="false">
      <c r="A181" s="23" t="s">
        <v>1390</v>
      </c>
      <c r="B181" s="10" t="s">
        <v>1754</v>
      </c>
      <c r="C181" s="10" t="n">
        <v>2022</v>
      </c>
      <c r="D181" s="10" t="s">
        <v>1453</v>
      </c>
      <c r="E181" s="10" t="s">
        <v>1560</v>
      </c>
    </row>
    <row r="182" customFormat="false" ht="23.85" hidden="false" customHeight="false" outlineLevel="0" collapsed="false">
      <c r="A182" s="23" t="s">
        <v>934</v>
      </c>
      <c r="B182" s="10" t="s">
        <v>1755</v>
      </c>
      <c r="C182" s="10" t="n">
        <v>2018</v>
      </c>
      <c r="D182" s="10" t="s">
        <v>1453</v>
      </c>
      <c r="E182" s="10" t="s">
        <v>1560</v>
      </c>
    </row>
    <row r="183" customFormat="false" ht="23.85" hidden="false" customHeight="false" outlineLevel="0" collapsed="false">
      <c r="A183" s="23" t="s">
        <v>914</v>
      </c>
      <c r="B183" s="10" t="s">
        <v>1756</v>
      </c>
      <c r="C183" s="10" t="n">
        <v>2018</v>
      </c>
      <c r="D183" s="10" t="s">
        <v>1453</v>
      </c>
      <c r="E183" s="10" t="s">
        <v>1560</v>
      </c>
    </row>
    <row r="184" customFormat="false" ht="23.85" hidden="false" customHeight="false" outlineLevel="0" collapsed="false">
      <c r="A184" s="23" t="s">
        <v>148</v>
      </c>
      <c r="B184" s="10" t="s">
        <v>1757</v>
      </c>
      <c r="C184" s="10" t="n">
        <v>2014</v>
      </c>
      <c r="D184" s="10" t="s">
        <v>1453</v>
      </c>
      <c r="E184" s="10" t="s">
        <v>1560</v>
      </c>
    </row>
    <row r="185" customFormat="false" ht="35.05" hidden="false" customHeight="false" outlineLevel="0" collapsed="false">
      <c r="A185" s="23" t="s">
        <v>1251</v>
      </c>
      <c r="B185" s="10" t="s">
        <v>1758</v>
      </c>
      <c r="C185" s="10" t="n">
        <v>2018</v>
      </c>
      <c r="D185" s="10" t="s">
        <v>1453</v>
      </c>
      <c r="E185" s="10" t="s">
        <v>1560</v>
      </c>
    </row>
    <row r="186" customFormat="false" ht="23.85" hidden="false" customHeight="false" outlineLevel="0" collapsed="false">
      <c r="A186" s="23" t="s">
        <v>1080</v>
      </c>
      <c r="B186" s="10" t="s">
        <v>1759</v>
      </c>
      <c r="C186" s="10" t="n">
        <v>2010</v>
      </c>
      <c r="D186" s="10" t="s">
        <v>1453</v>
      </c>
      <c r="E186" s="10" t="s">
        <v>1560</v>
      </c>
    </row>
    <row r="187" customFormat="false" ht="23.85" hidden="false" customHeight="false" outlineLevel="0" collapsed="false">
      <c r="A187" s="23" t="s">
        <v>718</v>
      </c>
      <c r="B187" s="10" t="s">
        <v>1760</v>
      </c>
      <c r="C187" s="10" t="n">
        <v>2020</v>
      </c>
      <c r="D187" s="10" t="s">
        <v>1453</v>
      </c>
      <c r="E187" s="10" t="s">
        <v>1560</v>
      </c>
    </row>
    <row r="188" customFormat="false" ht="23.85" hidden="false" customHeight="false" outlineLevel="0" collapsed="false">
      <c r="A188" s="23" t="s">
        <v>573</v>
      </c>
      <c r="B188" s="10" t="s">
        <v>1761</v>
      </c>
      <c r="C188" s="10" t="n">
        <v>2006</v>
      </c>
      <c r="D188" s="10" t="s">
        <v>1453</v>
      </c>
      <c r="E188" s="10" t="s">
        <v>1560</v>
      </c>
    </row>
    <row r="189" customFormat="false" ht="23.85" hidden="false" customHeight="false" outlineLevel="0" collapsed="false">
      <c r="A189" s="23" t="s">
        <v>656</v>
      </c>
      <c r="B189" s="10" t="s">
        <v>1762</v>
      </c>
      <c r="C189" s="10" t="n">
        <v>2005</v>
      </c>
      <c r="D189" s="10" t="s">
        <v>1453</v>
      </c>
      <c r="E189" s="10" t="s">
        <v>1560</v>
      </c>
    </row>
    <row r="190" customFormat="false" ht="23.85" hidden="false" customHeight="false" outlineLevel="0" collapsed="false">
      <c r="A190" s="23" t="s">
        <v>1086</v>
      </c>
      <c r="B190" s="10" t="s">
        <v>1763</v>
      </c>
      <c r="C190" s="10" t="n">
        <v>2007</v>
      </c>
      <c r="D190" s="10" t="s">
        <v>1453</v>
      </c>
      <c r="E190" s="10" t="s">
        <v>1560</v>
      </c>
    </row>
    <row r="191" customFormat="false" ht="23.85" hidden="false" customHeight="false" outlineLevel="0" collapsed="false">
      <c r="A191" s="23" t="s">
        <v>176</v>
      </c>
      <c r="B191" s="10" t="s">
        <v>1764</v>
      </c>
      <c r="C191" s="10" t="n">
        <v>2013</v>
      </c>
      <c r="D191" s="10" t="s">
        <v>1453</v>
      </c>
      <c r="E191" s="10" t="s">
        <v>1560</v>
      </c>
    </row>
    <row r="192" customFormat="false" ht="23.85" hidden="false" customHeight="false" outlineLevel="0" collapsed="false">
      <c r="A192" s="23" t="s">
        <v>1108</v>
      </c>
      <c r="B192" s="10" t="s">
        <v>1765</v>
      </c>
      <c r="C192" s="10" t="n">
        <v>2004</v>
      </c>
      <c r="D192" s="10" t="s">
        <v>1453</v>
      </c>
      <c r="E192" s="10" t="s">
        <v>1560</v>
      </c>
    </row>
    <row r="193" customFormat="false" ht="23.85" hidden="false" customHeight="false" outlineLevel="0" collapsed="false">
      <c r="A193" s="23" t="s">
        <v>670</v>
      </c>
      <c r="B193" s="10" t="s">
        <v>1766</v>
      </c>
      <c r="C193" s="10" t="n">
        <v>2023</v>
      </c>
      <c r="D193" s="10" t="s">
        <v>1453</v>
      </c>
      <c r="E193" s="10" t="s">
        <v>1560</v>
      </c>
    </row>
    <row r="194" customFormat="false" ht="23.85" hidden="false" customHeight="false" outlineLevel="0" collapsed="false">
      <c r="A194" s="23" t="s">
        <v>429</v>
      </c>
      <c r="B194" s="10" t="s">
        <v>1767</v>
      </c>
      <c r="C194" s="10" t="n">
        <v>2024</v>
      </c>
      <c r="D194" s="10" t="s">
        <v>1453</v>
      </c>
      <c r="E194" s="10" t="s">
        <v>1560</v>
      </c>
    </row>
    <row r="195" customFormat="false" ht="35.05" hidden="false" customHeight="false" outlineLevel="0" collapsed="false">
      <c r="A195" s="23" t="s">
        <v>1075</v>
      </c>
      <c r="B195" s="10" t="s">
        <v>1768</v>
      </c>
      <c r="C195" s="10" t="n">
        <v>2023</v>
      </c>
      <c r="D195" s="10" t="s">
        <v>1453</v>
      </c>
      <c r="E195" s="10" t="s">
        <v>1560</v>
      </c>
    </row>
    <row r="196" customFormat="false" ht="23.85" hidden="false" customHeight="false" outlineLevel="0" collapsed="false">
      <c r="A196" s="23" t="s">
        <v>117</v>
      </c>
      <c r="B196" s="10" t="s">
        <v>1769</v>
      </c>
      <c r="C196" s="10" t="n">
        <v>2016</v>
      </c>
      <c r="D196" s="10" t="s">
        <v>1453</v>
      </c>
      <c r="E196" s="10" t="s">
        <v>1560</v>
      </c>
    </row>
    <row r="197" customFormat="false" ht="23.85" hidden="false" customHeight="false" outlineLevel="0" collapsed="false">
      <c r="A197" s="23" t="s">
        <v>122</v>
      </c>
      <c r="B197" s="10" t="s">
        <v>1770</v>
      </c>
      <c r="C197" s="10" t="n">
        <v>2015</v>
      </c>
      <c r="D197" s="10" t="s">
        <v>1453</v>
      </c>
      <c r="E197" s="10" t="s">
        <v>1560</v>
      </c>
    </row>
    <row r="198" customFormat="false" ht="23.85" hidden="false" customHeight="false" outlineLevel="0" collapsed="false">
      <c r="A198" s="23" t="s">
        <v>251</v>
      </c>
      <c r="B198" s="10" t="s">
        <v>1771</v>
      </c>
      <c r="C198" s="10" t="n">
        <v>2023</v>
      </c>
      <c r="D198" s="10" t="s">
        <v>1453</v>
      </c>
      <c r="E198" s="10" t="s">
        <v>1560</v>
      </c>
    </row>
    <row r="199" customFormat="false" ht="23.85" hidden="false" customHeight="false" outlineLevel="0" collapsed="false">
      <c r="A199" s="23" t="s">
        <v>1297</v>
      </c>
      <c r="B199" s="10" t="s">
        <v>1772</v>
      </c>
      <c r="C199" s="10" t="n">
        <v>2014</v>
      </c>
      <c r="D199" s="10" t="s">
        <v>1453</v>
      </c>
      <c r="E199" s="10" t="s">
        <v>1560</v>
      </c>
    </row>
    <row r="200" customFormat="false" ht="23.85" hidden="false" customHeight="false" outlineLevel="0" collapsed="false">
      <c r="A200" s="23" t="s">
        <v>385</v>
      </c>
      <c r="B200" s="10" t="s">
        <v>1773</v>
      </c>
      <c r="C200" s="10" t="n">
        <v>2018</v>
      </c>
      <c r="D200" s="10" t="s">
        <v>1453</v>
      </c>
      <c r="E200" s="10" t="s">
        <v>1560</v>
      </c>
    </row>
    <row r="201" customFormat="false" ht="23.85" hidden="false" customHeight="false" outlineLevel="0" collapsed="false">
      <c r="A201" s="23" t="s">
        <v>1043</v>
      </c>
      <c r="B201" s="10" t="s">
        <v>1774</v>
      </c>
      <c r="C201" s="10" t="n">
        <v>2008</v>
      </c>
      <c r="D201" s="10" t="s">
        <v>1453</v>
      </c>
      <c r="E201" s="10" t="s">
        <v>1560</v>
      </c>
    </row>
    <row r="202" customFormat="false" ht="23.85" hidden="false" customHeight="false" outlineLevel="0" collapsed="false">
      <c r="A202" s="23" t="s">
        <v>1220</v>
      </c>
      <c r="B202" s="10" t="s">
        <v>1775</v>
      </c>
      <c r="C202" s="10" t="n">
        <v>2010</v>
      </c>
      <c r="D202" s="10" t="s">
        <v>1453</v>
      </c>
      <c r="E202" s="10" t="s">
        <v>1560</v>
      </c>
    </row>
    <row r="203" customFormat="false" ht="15" hidden="false" customHeight="false" outlineLevel="0" collapsed="false">
      <c r="A203" s="23" t="s">
        <v>1776</v>
      </c>
      <c r="B203" s="10" t="s">
        <v>1777</v>
      </c>
      <c r="C203" s="10" t="n">
        <v>2016</v>
      </c>
      <c r="D203" s="10" t="s">
        <v>1453</v>
      </c>
      <c r="E203" s="10" t="s">
        <v>1560</v>
      </c>
    </row>
    <row r="204" customFormat="false" ht="23.85" hidden="false" customHeight="false" outlineLevel="0" collapsed="false">
      <c r="A204" s="23" t="s">
        <v>890</v>
      </c>
      <c r="B204" s="10" t="s">
        <v>1778</v>
      </c>
      <c r="C204" s="10" t="n">
        <v>2007</v>
      </c>
      <c r="D204" s="10" t="s">
        <v>1453</v>
      </c>
      <c r="E204" s="10" t="s">
        <v>1560</v>
      </c>
    </row>
    <row r="205" customFormat="false" ht="23.85" hidden="false" customHeight="false" outlineLevel="0" collapsed="false">
      <c r="A205" s="23" t="s">
        <v>391</v>
      </c>
      <c r="B205" s="10" t="s">
        <v>1779</v>
      </c>
      <c r="C205" s="10" t="n">
        <v>2012</v>
      </c>
      <c r="D205" s="10" t="s">
        <v>1453</v>
      </c>
      <c r="E205" s="10" t="s">
        <v>1560</v>
      </c>
    </row>
    <row r="206" customFormat="false" ht="23.85" hidden="false" customHeight="false" outlineLevel="0" collapsed="false">
      <c r="A206" s="23" t="s">
        <v>257</v>
      </c>
      <c r="B206" s="10" t="s">
        <v>1780</v>
      </c>
      <c r="C206" s="10" t="n">
        <v>2018</v>
      </c>
      <c r="D206" s="10" t="s">
        <v>1453</v>
      </c>
      <c r="E206" s="10" t="s">
        <v>1560</v>
      </c>
    </row>
    <row r="207" customFormat="false" ht="23.85" hidden="false" customHeight="false" outlineLevel="0" collapsed="false">
      <c r="A207" s="23" t="s">
        <v>507</v>
      </c>
      <c r="B207" s="10" t="s">
        <v>1781</v>
      </c>
      <c r="C207" s="10" t="n">
        <v>2007</v>
      </c>
      <c r="D207" s="10" t="s">
        <v>1453</v>
      </c>
      <c r="E207" s="10" t="s">
        <v>1560</v>
      </c>
    </row>
    <row r="208" customFormat="false" ht="23.85" hidden="false" customHeight="false" outlineLevel="0" collapsed="false">
      <c r="A208" s="23" t="s">
        <v>410</v>
      </c>
      <c r="B208" s="10" t="s">
        <v>1782</v>
      </c>
      <c r="C208" s="10" t="n">
        <v>2011</v>
      </c>
      <c r="D208" s="10" t="s">
        <v>1453</v>
      </c>
      <c r="E208" s="10" t="s">
        <v>1560</v>
      </c>
    </row>
    <row r="209" customFormat="false" ht="23.85" hidden="false" customHeight="false" outlineLevel="0" collapsed="false">
      <c r="A209" s="23" t="s">
        <v>690</v>
      </c>
      <c r="B209" s="10" t="s">
        <v>1783</v>
      </c>
      <c r="C209" s="10" t="n">
        <v>2012</v>
      </c>
      <c r="D209" s="10" t="s">
        <v>1453</v>
      </c>
      <c r="E209" s="10" t="s">
        <v>1560</v>
      </c>
    </row>
    <row r="210" customFormat="false" ht="23.85" hidden="false" customHeight="false" outlineLevel="0" collapsed="false">
      <c r="A210" s="23" t="s">
        <v>462</v>
      </c>
      <c r="B210" s="10" t="s">
        <v>1784</v>
      </c>
      <c r="C210" s="10" t="n">
        <v>2013</v>
      </c>
      <c r="D210" s="10" t="s">
        <v>1453</v>
      </c>
      <c r="E210" s="10" t="s">
        <v>1560</v>
      </c>
    </row>
    <row r="211" customFormat="false" ht="23.85" hidden="false" customHeight="false" outlineLevel="0" collapsed="false">
      <c r="A211" s="23" t="s">
        <v>232</v>
      </c>
      <c r="B211" s="10" t="s">
        <v>1785</v>
      </c>
      <c r="C211" s="10" t="n">
        <v>2016</v>
      </c>
      <c r="D211" s="10" t="s">
        <v>1453</v>
      </c>
      <c r="E211" s="10" t="s">
        <v>1560</v>
      </c>
    </row>
    <row r="212" customFormat="false" ht="23.85" hidden="false" customHeight="false" outlineLevel="0" collapsed="false">
      <c r="A212" s="23" t="s">
        <v>699</v>
      </c>
      <c r="B212" s="10" t="s">
        <v>1786</v>
      </c>
      <c r="C212" s="10" t="n">
        <v>2014</v>
      </c>
      <c r="D212" s="10" t="s">
        <v>1453</v>
      </c>
      <c r="E212" s="10" t="s">
        <v>1560</v>
      </c>
    </row>
    <row r="213" customFormat="false" ht="15" hidden="false" customHeight="false" outlineLevel="0" collapsed="false">
      <c r="A213" s="23" t="s">
        <v>922</v>
      </c>
      <c r="B213" s="10" t="s">
        <v>1787</v>
      </c>
      <c r="C213" s="10" t="n">
        <v>2017</v>
      </c>
      <c r="D213" s="10" t="s">
        <v>1453</v>
      </c>
      <c r="E213" s="10" t="s">
        <v>1560</v>
      </c>
    </row>
    <row r="214" customFormat="false" ht="23.85" hidden="false" customHeight="false" outlineLevel="0" collapsed="false">
      <c r="A214" s="23" t="s">
        <v>224</v>
      </c>
      <c r="B214" s="10" t="s">
        <v>1788</v>
      </c>
      <c r="C214" s="10" t="n">
        <v>2015</v>
      </c>
      <c r="D214" s="10" t="s">
        <v>1453</v>
      </c>
      <c r="E214" s="10" t="s">
        <v>1560</v>
      </c>
    </row>
    <row r="215" customFormat="false" ht="23.85" hidden="false" customHeight="false" outlineLevel="0" collapsed="false">
      <c r="A215" s="23" t="s">
        <v>666</v>
      </c>
      <c r="B215" s="10" t="s">
        <v>1789</v>
      </c>
      <c r="C215" s="10" t="n">
        <v>2021</v>
      </c>
      <c r="D215" s="10" t="s">
        <v>1453</v>
      </c>
      <c r="E215" s="10" t="s">
        <v>1560</v>
      </c>
    </row>
    <row r="216" customFormat="false" ht="23.85" hidden="false" customHeight="false" outlineLevel="0" collapsed="false">
      <c r="A216" s="23" t="s">
        <v>856</v>
      </c>
      <c r="B216" s="10" t="s">
        <v>1790</v>
      </c>
      <c r="C216" s="10" t="n">
        <v>2019</v>
      </c>
      <c r="D216" s="10" t="s">
        <v>1453</v>
      </c>
      <c r="E216" s="10" t="s">
        <v>1560</v>
      </c>
    </row>
    <row r="217" customFormat="false" ht="15" hidden="false" customHeight="false" outlineLevel="0" collapsed="false">
      <c r="A217" s="23" t="s">
        <v>852</v>
      </c>
      <c r="B217" s="10" t="s">
        <v>1791</v>
      </c>
      <c r="C217" s="10" t="n">
        <v>2024</v>
      </c>
      <c r="D217" s="10" t="s">
        <v>1453</v>
      </c>
      <c r="E217" s="10" t="s">
        <v>1560</v>
      </c>
    </row>
    <row r="218" customFormat="false" ht="23.85" hidden="false" customHeight="false" outlineLevel="0" collapsed="false">
      <c r="A218" s="23" t="s">
        <v>957</v>
      </c>
      <c r="B218" s="10" t="s">
        <v>1792</v>
      </c>
      <c r="C218" s="10" t="n">
        <v>2015</v>
      </c>
      <c r="D218" s="10" t="s">
        <v>1453</v>
      </c>
      <c r="E218" s="10" t="s">
        <v>1560</v>
      </c>
    </row>
    <row r="219" customFormat="false" ht="23.85" hidden="false" customHeight="false" outlineLevel="0" collapsed="false">
      <c r="A219" s="23" t="s">
        <v>311</v>
      </c>
      <c r="B219" s="10" t="s">
        <v>1793</v>
      </c>
      <c r="C219" s="10" t="n">
        <v>2016</v>
      </c>
      <c r="D219" s="10" t="s">
        <v>1453</v>
      </c>
      <c r="E219" s="10" t="s">
        <v>1560</v>
      </c>
    </row>
    <row r="220" customFormat="false" ht="23.85" hidden="false" customHeight="false" outlineLevel="0" collapsed="false">
      <c r="A220" s="23" t="s">
        <v>875</v>
      </c>
      <c r="B220" s="10" t="s">
        <v>1794</v>
      </c>
      <c r="C220" s="10" t="n">
        <v>2012</v>
      </c>
      <c r="D220" s="10" t="s">
        <v>1453</v>
      </c>
      <c r="E220" s="10" t="s">
        <v>1560</v>
      </c>
    </row>
    <row r="221" customFormat="false" ht="23.85" hidden="false" customHeight="false" outlineLevel="0" collapsed="false">
      <c r="A221" s="23" t="s">
        <v>1145</v>
      </c>
      <c r="B221" s="10" t="s">
        <v>1795</v>
      </c>
      <c r="C221" s="10" t="n">
        <v>2010</v>
      </c>
      <c r="D221" s="10" t="s">
        <v>1453</v>
      </c>
      <c r="E221" s="10" t="s">
        <v>1560</v>
      </c>
    </row>
    <row r="222" customFormat="false" ht="23.85" hidden="false" customHeight="false" outlineLevel="0" collapsed="false">
      <c r="A222" s="23" t="s">
        <v>834</v>
      </c>
      <c r="B222" s="10" t="s">
        <v>1796</v>
      </c>
      <c r="C222" s="10" t="n">
        <v>2024</v>
      </c>
      <c r="D222" s="10" t="s">
        <v>1453</v>
      </c>
      <c r="E222" s="10" t="s">
        <v>1560</v>
      </c>
    </row>
    <row r="223" customFormat="false" ht="15" hidden="false" customHeight="false" outlineLevel="0" collapsed="false">
      <c r="A223" s="23" t="s">
        <v>790</v>
      </c>
      <c r="B223" s="10" t="s">
        <v>1797</v>
      </c>
      <c r="C223" s="10" t="n">
        <v>2024</v>
      </c>
      <c r="D223" s="10" t="s">
        <v>1453</v>
      </c>
      <c r="E223" s="10" t="s">
        <v>1560</v>
      </c>
    </row>
    <row r="224" customFormat="false" ht="35.05" hidden="false" customHeight="false" outlineLevel="0" collapsed="false">
      <c r="A224" s="23" t="s">
        <v>823</v>
      </c>
      <c r="B224" s="10" t="s">
        <v>1798</v>
      </c>
      <c r="C224" s="10" t="n">
        <v>2017</v>
      </c>
      <c r="D224" s="10" t="s">
        <v>1453</v>
      </c>
      <c r="E224" s="10" t="s">
        <v>1560</v>
      </c>
    </row>
    <row r="225" customFormat="false" ht="23.85" hidden="false" customHeight="false" outlineLevel="0" collapsed="false">
      <c r="A225" s="23" t="s">
        <v>380</v>
      </c>
      <c r="B225" s="10" t="s">
        <v>1799</v>
      </c>
      <c r="C225" s="10" t="n">
        <v>2024</v>
      </c>
      <c r="D225" s="10" t="s">
        <v>1453</v>
      </c>
      <c r="E225" s="10" t="s">
        <v>1560</v>
      </c>
    </row>
    <row r="226" customFormat="false" ht="23.85" hidden="false" customHeight="false" outlineLevel="0" collapsed="false">
      <c r="A226" s="23" t="s">
        <v>239</v>
      </c>
      <c r="B226" s="10" t="s">
        <v>1800</v>
      </c>
      <c r="C226" s="10" t="n">
        <v>2024</v>
      </c>
      <c r="D226" s="10" t="s">
        <v>1453</v>
      </c>
      <c r="E226" s="10" t="s">
        <v>1560</v>
      </c>
    </row>
    <row r="227" customFormat="false" ht="23.85" hidden="false" customHeight="false" outlineLevel="0" collapsed="false">
      <c r="A227" s="23" t="s">
        <v>302</v>
      </c>
      <c r="B227" s="10" t="s">
        <v>1801</v>
      </c>
      <c r="C227" s="10" t="n">
        <v>2020</v>
      </c>
      <c r="D227" s="10" t="s">
        <v>1453</v>
      </c>
      <c r="E227" s="10" t="s">
        <v>1560</v>
      </c>
    </row>
    <row r="228" customFormat="false" ht="23.85" hidden="false" customHeight="false" outlineLevel="0" collapsed="false">
      <c r="A228" s="23" t="s">
        <v>818</v>
      </c>
      <c r="B228" s="10" t="s">
        <v>1802</v>
      </c>
      <c r="C228" s="10" t="n">
        <v>2014</v>
      </c>
      <c r="D228" s="10" t="s">
        <v>1453</v>
      </c>
      <c r="E228" s="10" t="s">
        <v>1560</v>
      </c>
    </row>
    <row r="229" customFormat="false" ht="15" hidden="false" customHeight="false" outlineLevel="0" collapsed="false">
      <c r="A229" s="23" t="s">
        <v>1167</v>
      </c>
      <c r="B229" s="10" t="s">
        <v>1803</v>
      </c>
      <c r="C229" s="10" t="n">
        <v>2019</v>
      </c>
      <c r="D229" s="10" t="s">
        <v>1453</v>
      </c>
      <c r="E229" s="10" t="s">
        <v>1560</v>
      </c>
    </row>
    <row r="230" customFormat="false" ht="23.85" hidden="false" customHeight="false" outlineLevel="0" collapsed="false">
      <c r="A230" s="23" t="s">
        <v>629</v>
      </c>
      <c r="B230" s="10" t="s">
        <v>1804</v>
      </c>
      <c r="C230" s="10" t="n">
        <v>2021</v>
      </c>
      <c r="D230" s="10" t="s">
        <v>1453</v>
      </c>
      <c r="E230" s="10" t="s">
        <v>1560</v>
      </c>
    </row>
    <row r="231" customFormat="false" ht="23.85" hidden="false" customHeight="false" outlineLevel="0" collapsed="false">
      <c r="A231" s="23" t="s">
        <v>1209</v>
      </c>
      <c r="B231" s="10" t="s">
        <v>1805</v>
      </c>
      <c r="C231" s="10" t="n">
        <v>2021</v>
      </c>
      <c r="D231" s="10" t="s">
        <v>1453</v>
      </c>
      <c r="E231" s="10" t="s">
        <v>1560</v>
      </c>
    </row>
    <row r="232" customFormat="false" ht="15" hidden="false" customHeight="false" outlineLevel="0" collapsed="false">
      <c r="A232" s="23" t="s">
        <v>425</v>
      </c>
      <c r="B232" s="10" t="s">
        <v>1806</v>
      </c>
      <c r="C232" s="10" t="n">
        <v>2023</v>
      </c>
      <c r="D232" s="10" t="s">
        <v>1453</v>
      </c>
      <c r="E232" s="10" t="s">
        <v>1560</v>
      </c>
    </row>
    <row r="233" customFormat="false" ht="23.85" hidden="false" customHeight="false" outlineLevel="0" collapsed="false">
      <c r="A233" s="23" t="s">
        <v>781</v>
      </c>
      <c r="B233" s="10" t="s">
        <v>1807</v>
      </c>
      <c r="C233" s="10" t="n">
        <v>2024</v>
      </c>
      <c r="D233" s="10" t="s">
        <v>1453</v>
      </c>
      <c r="E233" s="10" t="s">
        <v>1560</v>
      </c>
    </row>
    <row r="234" customFormat="false" ht="35.05" hidden="false" customHeight="false" outlineLevel="0" collapsed="false">
      <c r="A234" s="23" t="s">
        <v>1183</v>
      </c>
      <c r="B234" s="10" t="s">
        <v>1808</v>
      </c>
      <c r="C234" s="10" t="n">
        <v>2022</v>
      </c>
      <c r="D234" s="10" t="s">
        <v>1453</v>
      </c>
      <c r="E234" s="10" t="s">
        <v>1560</v>
      </c>
    </row>
    <row r="235" customFormat="false" ht="35.05" hidden="false" customHeight="false" outlineLevel="0" collapsed="false">
      <c r="A235" s="23" t="s">
        <v>930</v>
      </c>
      <c r="B235" s="10" t="s">
        <v>1809</v>
      </c>
      <c r="C235" s="10" t="n">
        <v>2017</v>
      </c>
      <c r="D235" s="10" t="s">
        <v>1453</v>
      </c>
      <c r="E235" s="10" t="s">
        <v>1560</v>
      </c>
    </row>
    <row r="236" customFormat="false" ht="23.85" hidden="false" customHeight="false" outlineLevel="0" collapsed="false">
      <c r="A236" s="23" t="s">
        <v>800</v>
      </c>
      <c r="B236" s="10" t="s">
        <v>1810</v>
      </c>
      <c r="C236" s="10" t="n">
        <v>2018</v>
      </c>
      <c r="D236" s="10" t="s">
        <v>1453</v>
      </c>
      <c r="E236" s="10" t="s">
        <v>1560</v>
      </c>
    </row>
    <row r="237" customFormat="false" ht="35.05" hidden="false" customHeight="false" outlineLevel="0" collapsed="false">
      <c r="A237" s="23" t="s">
        <v>421</v>
      </c>
      <c r="B237" s="10" t="s">
        <v>1811</v>
      </c>
      <c r="C237" s="10" t="n">
        <v>2021</v>
      </c>
      <c r="D237" s="10" t="s">
        <v>1453</v>
      </c>
      <c r="E237" s="10" t="s">
        <v>1560</v>
      </c>
    </row>
    <row r="238" customFormat="false" ht="23.85" hidden="false" customHeight="false" outlineLevel="0" collapsed="false">
      <c r="A238" s="23" t="s">
        <v>130</v>
      </c>
      <c r="B238" s="10" t="s">
        <v>1812</v>
      </c>
      <c r="C238" s="10" t="n">
        <v>2013</v>
      </c>
      <c r="D238" s="10" t="s">
        <v>1453</v>
      </c>
      <c r="E238" s="10" t="s">
        <v>1560</v>
      </c>
    </row>
    <row r="239" customFormat="false" ht="23.85" hidden="false" customHeight="false" outlineLevel="0" collapsed="false">
      <c r="A239" s="23" t="s">
        <v>1089</v>
      </c>
      <c r="B239" s="10" t="s">
        <v>1813</v>
      </c>
      <c r="C239" s="10" t="n">
        <v>2015</v>
      </c>
      <c r="D239" s="10" t="s">
        <v>1453</v>
      </c>
      <c r="E239" s="10" t="s">
        <v>1560</v>
      </c>
    </row>
  </sheetData>
  <autoFilter ref="A4:E239"/>
  <mergeCells count="1">
    <mergeCell ref="A2:E2"/>
  </mergeCells>
  <hyperlinks>
    <hyperlink ref="A5" r:id="rId1" display="10.1002/1529-0131(200103)44:3&lt;595::aid-anr108&gt;3.0.co;2-8"/>
    <hyperlink ref="A6" r:id="rId2" display="10.1002/1529-0131(200110)44:10&lt;2296::aid-art392&gt;3.0.co;2-9"/>
    <hyperlink ref="A7" r:id="rId3" display="10.1002/advs.202105466"/>
    <hyperlink ref="A8" r:id="rId4" display="10.1002/art.23504"/>
    <hyperlink ref="A9" r:id="rId5" display="10.1002/art.24073"/>
    <hyperlink ref="A10" r:id="rId6" display="10.1002/art.25051"/>
    <hyperlink ref="A11" r:id="rId7" display="10.1002/art.38791"/>
    <hyperlink ref="A12" r:id="rId8" display="10.1002/art.38868"/>
    <hyperlink ref="A13" r:id="rId9" display="10.1002/cbin.11293"/>
    <hyperlink ref="A14" r:id="rId10" display="10.1002/dvdy.20323"/>
    <hyperlink ref="A15" r:id="rId11" display="10.1002/humu.9503"/>
    <hyperlink ref="A16" r:id="rId12" display="10.1002/jbmr.174"/>
    <hyperlink ref="A17" r:id="rId13" display="10.1002/jbmr.4019"/>
    <hyperlink ref="A18" r:id="rId14" display="10.1002/jbmr.4300"/>
    <hyperlink ref="A19" r:id="rId15" display="10.1002/jbmr.561"/>
    <hyperlink ref="A20" r:id="rId16" display="10.1002/jcb.1163"/>
    <hyperlink ref="A21" r:id="rId17" display="10.1002/jcb.20351"/>
    <hyperlink ref="A22" r:id="rId18" display="10.1002/jcb.21198"/>
    <hyperlink ref="A23" r:id="rId19" display="10.1002/jcb.25099"/>
    <hyperlink ref="A24" r:id="rId20" display="10.1002/jcb.27683"/>
    <hyperlink ref="A25" r:id="rId21" display="10.1002/jcp.21904"/>
    <hyperlink ref="A26" r:id="rId22" display="10.1002/jor.23583"/>
    <hyperlink ref="A27" r:id="rId23" display="10.1002/lary.20157"/>
    <hyperlink ref="A28" r:id="rId24" display="10.1002/path.2578"/>
    <hyperlink ref="A29" r:id="rId25" display="10.1002/stem.1476"/>
    <hyperlink ref="A30" r:id="rId26" display="10.1007/bf00229313"/>
    <hyperlink ref="A31" r:id="rId27" display="10.1007/s00018-023-05094-y"/>
    <hyperlink ref="A32" r:id="rId28" display="10.1007/s00018-025-05824-4"/>
    <hyperlink ref="A33" r:id="rId29" display="10.1007/s00264-013-2144-6"/>
    <hyperlink ref="A34" r:id="rId30" display="10.1007/s00418-005-0026-8"/>
    <hyperlink ref="A35" r:id="rId31" display="10.1007/s00441-003-0836-8"/>
    <hyperlink ref="A36" r:id="rId32" display="10.1007/s10753-022-01770-6"/>
    <hyperlink ref="A37" r:id="rId33" display="10.1007/s12551-017-0308-0"/>
    <hyperlink ref="A38" r:id="rId34" display="10.1016/0167-4838(83)90140-1"/>
    <hyperlink ref="A39" r:id="rId35" display="10.1016/j.ajpath.2024.05.004"/>
    <hyperlink ref="A40" r:id="rId36" display="10.1016/j.bbamcr.2008.12.003"/>
    <hyperlink ref="A41" r:id="rId37" display="10.1016/j.bbamcr.2023.119573"/>
    <hyperlink ref="A42" r:id="rId38" display="10.1016/j.bbrc.2017.05.086"/>
    <hyperlink ref="A43" r:id="rId39" display="10.1016/j.bbrc.2024.150371"/>
    <hyperlink ref="A44" r:id="rId40" display="10.1016/j.ceb.2009.05.006"/>
    <hyperlink ref="A45" r:id="rId41" display="10.1016/j.cell.2006.03.046"/>
    <hyperlink ref="A46" r:id="rId42" display="10.1016/j.cell.2006.06.055"/>
    <hyperlink ref="A47" r:id="rId43" display="10.1016/j.cell.2012.06.037"/>
    <hyperlink ref="A48" r:id="rId44" display="10.1016/j.cell.2015.07.013"/>
    <hyperlink ref="A49" r:id="rId45" display="10.1016/j.cell.2024.02.007"/>
    <hyperlink ref="A50" r:id="rId46" display="10.1016/j.cellsig.2013.12.001"/>
    <hyperlink ref="A51" r:id="rId47" display="10.1016/j.cellsig.2026.112769"/>
    <hyperlink ref="A52" r:id="rId48" display="10.1016/j.cmet.2005.06.005"/>
    <hyperlink ref="A53" r:id="rId49" display="10.1016/j.cub.2005.02.053"/>
    <hyperlink ref="A54" r:id="rId50" display="10.1016/j.fob.2015.06.001"/>
    <hyperlink ref="A55" r:id="rId51" display="10.1016/j.freeradbiomed.2009.02.019"/>
    <hyperlink ref="A56" r:id="rId52" display="10.1016/j.gene.2019.04.020"/>
    <hyperlink ref="A57" r:id="rId53" display="10.1016/j.ijcard.2021.08.007"/>
    <hyperlink ref="A58" r:id="rId54" display="10.1016/j.intimp.2019.04.012"/>
    <hyperlink ref="A59" r:id="rId55" display="10.1016/j.intimp.2020.106681"/>
    <hyperlink ref="A60" r:id="rId56" display="10.1016/j.joca.2008.04.006"/>
    <hyperlink ref="A61" r:id="rId57" display="10.1016/j.joca.2008.04.027"/>
    <hyperlink ref="A62" r:id="rId58" display="10.1016/j.joca.2014.06.031"/>
    <hyperlink ref="A63" r:id="rId59" display="10.1016/j.joca.2015.02.168"/>
    <hyperlink ref="A64" r:id="rId60" display="10.1016/j.joca.2016.02.003"/>
    <hyperlink ref="A65" r:id="rId61" display="10.1016/j.joca.2017.08.019"/>
    <hyperlink ref="A66" r:id="rId62" display="10.1016/j.jot.2023.03.002"/>
    <hyperlink ref="A67" r:id="rId63" display="10.1016/j.jot.2025.01.013"/>
    <hyperlink ref="A68" r:id="rId64" display="10.1016/j.lfs.2019.116565"/>
    <hyperlink ref="A69" r:id="rId65" display="10.1016/j.mad.2022.111715"/>
    <hyperlink ref="A70" r:id="rId66" display="10.1016/j.matbio.2020.09.003"/>
    <hyperlink ref="A71" r:id="rId67" display="10.1016/j.molcel.2010.07.022"/>
    <hyperlink ref="A72" r:id="rId68" display="10.1016/j.spinee.2014.12.143"/>
    <hyperlink ref="A73" r:id="rId69" display="10.1016/j.steroids.2005.04.007"/>
    <hyperlink ref="A74" r:id="rId70" display="10.1016/j.ydbio.2010.02.024"/>
    <hyperlink ref="A75" r:id="rId71" display="10.1016/s0006-291x(02)00485-0"/>
    <hyperlink ref="A76" r:id="rId72" display="10.1016/s0022-2836(02)01404-3"/>
    <hyperlink ref="A77" r:id="rId73" display="10.1016/s0960-9822(01)00225-1"/>
    <hyperlink ref="A78" r:id="rId74" display="10.1038/372786a0"/>
    <hyperlink ref="A79" r:id="rId75" display="10.1038/boneres.2017.8"/>
    <hyperlink ref="A80" r:id="rId76" display="10.1038/cdd.2017.186"/>
    <hyperlink ref="A81" r:id="rId77" display="10.1038/emm.2000.18"/>
    <hyperlink ref="A82" r:id="rId78" display="10.1038/ncb1676"/>
    <hyperlink ref="A83" r:id="rId79" display="10.1038/nm.2146"/>
    <hyperlink ref="A84" r:id="rId80" display="10.1038/onc.2014.164"/>
    <hyperlink ref="A85" r:id="rId81" display="10.1038/s12276-020-0441-x"/>
    <hyperlink ref="A86" r:id="rId82" display="10.1038/s12276-021-00716-6"/>
    <hyperlink ref="A87" r:id="rId83" display="10.1038/s12276-022-00829-6"/>
    <hyperlink ref="A88" r:id="rId84" display="10.1038/s12276-024-01168-4"/>
    <hyperlink ref="A89" r:id="rId85" display="10.1038/s41388-018-0417-7"/>
    <hyperlink ref="A90" r:id="rId86" display="10.1038/s41392-021-00828-5"/>
    <hyperlink ref="A91" r:id="rId87" display="10.1038/s41419-019-1701-3"/>
    <hyperlink ref="A92" r:id="rId88" display="10.1038/s41419-019-2202-0"/>
    <hyperlink ref="A93" r:id="rId89" display="10.1038/s41419-025-08002-3"/>
    <hyperlink ref="A94" r:id="rId90" display="10.1038/s41556-023-01184-y"/>
    <hyperlink ref="A95" r:id="rId91" display="10.1038/s41598-017-17289-y"/>
    <hyperlink ref="A96" r:id="rId92" display="10.1038/s41598-021-81838-9"/>
    <hyperlink ref="A97" r:id="rId93" display="10.1038/s41598-021-82067-w"/>
    <hyperlink ref="A98" r:id="rId94" display="10.1038/s42255-019-0157-1"/>
    <hyperlink ref="A99" r:id="rId95" display="10.1038/sj.cdd.4401963"/>
    <hyperlink ref="A100" r:id="rId96" display="10.1038/sj.cdd.4402028"/>
    <hyperlink ref="A101" r:id="rId97" display="10.1038/sj.emboj.7601126"/>
    <hyperlink ref="A102" r:id="rId98" display="10.1038/sj.onc.1203362"/>
    <hyperlink ref="A103" r:id="rId99" display="10.1038/srep23258"/>
    <hyperlink ref="A104" r:id="rId100" display="10.1038/srep29916"/>
    <hyperlink ref="A105" r:id="rId101" display="10.1042/bcj20190410"/>
    <hyperlink ref="A106" r:id="rId102" display="10.1042/cs20150622"/>
    <hyperlink ref="A107" r:id="rId103" display="10.1042/cs20258735"/>
    <hyperlink ref="A108" r:id="rId104" display="10.1046/j.1471-4159.2000.0750788.x"/>
    <hyperlink ref="A109" r:id="rId105" display="10.1046/j.1471-4159.2001.00495.x"/>
    <hyperlink ref="A110" r:id="rId106" display="10.1053/joca.2002.0827"/>
    <hyperlink ref="A111" r:id="rId107" display="10.1073/pnas.0600678103"/>
    <hyperlink ref="A112" r:id="rId108" display="10.1073/pnas.0808249105"/>
    <hyperlink ref="A113" r:id="rId109" display="10.1073/pnas.090491897"/>
    <hyperlink ref="A114" r:id="rId110" display="10.1073/pnas.1319569111"/>
    <hyperlink ref="A115" r:id="rId111" display="10.1073/pnas.2209184120"/>
    <hyperlink ref="A116" r:id="rId112" display="10.1074/jbc.271.44.27723"/>
    <hyperlink ref="A117" r:id="rId113" display="10.1074/jbc.271.7.3355"/>
    <hyperlink ref="A118" r:id="rId114" display="10.1074/jbc.273.22.13375"/>
    <hyperlink ref="A119" r:id="rId115" display="10.1074/jbc.273.3.1733"/>
    <hyperlink ref="A120" r:id="rId116" display="10.1074/jbc.275.5.3577"/>
    <hyperlink ref="A121" r:id="rId117" display="10.1074/jbc.a115.702571"/>
    <hyperlink ref="A122" r:id="rId118" display="10.1074/jbc.m107977200"/>
    <hyperlink ref="A123" r:id="rId119" display="10.1074/jbc.m109690200"/>
    <hyperlink ref="A124" r:id="rId120" display="10.1074/jbc.m111.284224"/>
    <hyperlink ref="A125" r:id="rId121" display="10.1074/jbc.m111.334466"/>
    <hyperlink ref="A126" r:id="rId122" display="10.1074/jbc.m112.365882"/>
    <hyperlink ref="A127" r:id="rId123" display="10.1074/jbc.m112.440552"/>
    <hyperlink ref="A128" r:id="rId124" display="10.1074/jbc.m115.702571"/>
    <hyperlink ref="A129" r:id="rId125" display="10.1074/jbc.m201283200"/>
    <hyperlink ref="A130" r:id="rId126" display="10.1074/jbc.m208300200"/>
    <hyperlink ref="A131" r:id="rId127" display="10.1074/jbc.m311033200"/>
    <hyperlink ref="A132" r:id="rId128" display="10.1074/jbc.m411793200"/>
    <hyperlink ref="A133" r:id="rId129" display="10.1074/jbc.m508510200"/>
    <hyperlink ref="A134" r:id="rId130" display="10.1074/jbc.m604322200"/>
    <hyperlink ref="A135" r:id="rId131" display="10.1074/jbc.m608086200"/>
    <hyperlink ref="A136" r:id="rId132" display="10.1074/jbc.m608995200"/>
    <hyperlink ref="A137" r:id="rId133" display="10.1074/jbc.m706638200"/>
    <hyperlink ref="A138" r:id="rId134" display="10.1074/jbc.m805711200"/>
    <hyperlink ref="A139" r:id="rId135" display="10.1074/jbc.m808048200"/>
    <hyperlink ref="A140" r:id="rId136" display="10.1080/03008207.2020.1736578"/>
    <hyperlink ref="A141" r:id="rId137" display="10.1080/03008207.2021.1952193"/>
    <hyperlink ref="A142" r:id="rId138" display="10.1083/jcb.200111073"/>
    <hyperlink ref="A143" r:id="rId139" display="10.1083/jcb.200211089"/>
    <hyperlink ref="A144" r:id="rId140" display="10.1083/jcb.200312045"/>
    <hyperlink ref="A145" r:id="rId141" display="10.1083/jcb.200805048"/>
    <hyperlink ref="A146" r:id="rId142" display="10.1089/scd.2010.0465"/>
    <hyperlink ref="A147" r:id="rId143" display="10.1091/mbc.e04-12-1082"/>
    <hyperlink ref="A148" r:id="rId144" display="10.1091/mbc.e06-03-0207"/>
    <hyperlink ref="A149" r:id="rId145" display="10.1091/mbc.e08-12-1248"/>
    <hyperlink ref="A150" r:id="rId146" display="10.1093/cvr/cvu053"/>
    <hyperlink ref="A151" r:id="rId147" display="10.1093/emboj/17.2.414"/>
    <hyperlink ref="A152" r:id="rId148" display="10.1096/fj.13-243741"/>
    <hyperlink ref="A153" r:id="rId149" display="10.1096/fj.201802725rrr"/>
    <hyperlink ref="A154" r:id="rId150" display="10.1097/01.brs.0000159096.11248.6d"/>
    <hyperlink ref="A155" r:id="rId151" display="10.1097/brs.0000000000001220"/>
    <hyperlink ref="A156" r:id="rId152" display="10.1097/brs.0000000000001235"/>
    <hyperlink ref="A157" r:id="rId153" display="10.1101/gad.1230704"/>
    <hyperlink ref="A158" r:id="rId154" display="10.1101/gad.1482906"/>
    <hyperlink ref="A159" r:id="rId155" display="10.1101/gad.219402.113"/>
    <hyperlink ref="A160" r:id="rId156" display="10.1101/gad.543109"/>
    <hyperlink ref="A161" r:id="rId157" display="10.1111/cpr.12492"/>
    <hyperlink ref="A162" r:id="rId158" display="10.1111/cpr.13438"/>
    <hyperlink ref="A163" r:id="rId159" display="10.1111/j.1067-1927.2005.130206.x"/>
    <hyperlink ref="A164" r:id="rId160" display="10.1111/j.1476-5381.2009.00143.x"/>
    <hyperlink ref="A165" r:id="rId161" display="10.1111/j.1582-4934.2012.01553.x"/>
    <hyperlink ref="A166" r:id="rId162" display="10.1111/jcmm.18048"/>
    <hyperlink ref="A167" r:id="rId163" display="10.1124/mol.109.056473"/>
    <hyperlink ref="A168" r:id="rId164" display="10.1126/science.1068712"/>
    <hyperlink ref="A169" r:id="rId165" display="10.1126/science.1165946"/>
    <hyperlink ref="A170" r:id="rId166" display="10.1126/science.271.5249.645"/>
    <hyperlink ref="A171" r:id="rId167" display="10.1126/science.277.5325.567"/>
    <hyperlink ref="A172" r:id="rId168" display="10.1128/mcb.00015-07"/>
    <hyperlink ref="A173" r:id="rId169" display="10.1128/mcb.00409-10"/>
    <hyperlink ref="A174" r:id="rId170" display="10.1128/mcb.00601-09"/>
    <hyperlink ref="A175" r:id="rId171" display="10.1128/mcb.01204-10"/>
    <hyperlink ref="A176" r:id="rId172" display="10.1128/mcb.23.1.131-139.2003"/>
    <hyperlink ref="A177" r:id="rId173" display="10.1152/ajpcell.00355.2021"/>
    <hyperlink ref="A178" r:id="rId174" display="10.1152/ajprenal.00591.2012"/>
    <hyperlink ref="A179" r:id="rId175" display="10.1152/physrev.00026.2020"/>
    <hyperlink ref="A180" r:id="rId176" display="10.1155/2022/5635797"/>
    <hyperlink ref="A181" r:id="rId177" display="10.1155/2022/7655142"/>
    <hyperlink ref="A182" r:id="rId178" display="10.1159/000489804"/>
    <hyperlink ref="A183" r:id="rId179" display="10.1159/000493225"/>
    <hyperlink ref="A184" r:id="rId180" display="10.1160/th13-06-0484"/>
    <hyperlink ref="A185" r:id="rId181" display="10.1161/atvbaha.117.310502"/>
    <hyperlink ref="A186" r:id="rId182" display="10.1164/rccm.200907-1047oc"/>
    <hyperlink ref="A187" r:id="rId183" display="10.1172/jci.insight.131382"/>
    <hyperlink ref="A188" r:id="rId184" display="10.1182/blood-2005-09-3541"/>
    <hyperlink ref="A189" r:id="rId185" display="10.1186/ar1765"/>
    <hyperlink ref="A190" r:id="rId186" display="10.1186/ar2151"/>
    <hyperlink ref="A191" r:id="rId187" display="10.1186/ar4254"/>
    <hyperlink ref="A192" r:id="rId188" display="10.1186/bcr922"/>
    <hyperlink ref="A193" r:id="rId189" display="10.1186/s11658-023-00489-y"/>
    <hyperlink ref="A194" r:id="rId190" display="10.1186/s12950-024-00398-7"/>
    <hyperlink ref="A195" r:id="rId191" display="10.1186/s12951-023-02075-y"/>
    <hyperlink ref="A196" r:id="rId192" display="10.1186/s12967-016-0833-9"/>
    <hyperlink ref="A197" r:id="rId193" display="10.1186/s13018-015-0296-3"/>
    <hyperlink ref="A198" r:id="rId194" display="10.1186/s13018-023-03815-4"/>
    <hyperlink ref="A199" r:id="rId195" display="10.1186/s13075-014-0416-1"/>
    <hyperlink ref="A200" r:id="rId196" display="10.1186/s13075-018-1723-8"/>
    <hyperlink ref="A201" r:id="rId197" display="10.1194/jlr.m700419-jlr200"/>
    <hyperlink ref="A202" r:id="rId198" display="10.1210/me.2010-0037"/>
    <hyperlink ref="A203" r:id="rId199" display="10.1242/dev.134502"/>
    <hyperlink ref="A204" r:id="rId200" display="10.1242/jcs.001586"/>
    <hyperlink ref="A205" r:id="rId201" display="10.1242/jcs.100107"/>
    <hyperlink ref="A206" r:id="rId202" display="10.12659/msm.913726"/>
    <hyperlink ref="A207" r:id="rId203" display="10.1359/jbmr.070322"/>
    <hyperlink ref="A208" r:id="rId204" display="10.1371/journal.pgen.1002356"/>
    <hyperlink ref="A209" r:id="rId205" display="10.1371/journal.pone.0039679"/>
    <hyperlink ref="A210" r:id="rId206" display="10.1371/journal.pone.0082045"/>
    <hyperlink ref="A211" r:id="rId207" display="10.1371/journal.pone.0158619"/>
    <hyperlink ref="A212" r:id="rId208" display="10.15252/embj.201489062"/>
    <hyperlink ref="A213" r:id="rId209" display="10.18632/oncotarget.18628"/>
    <hyperlink ref="A214" r:id="rId210" display="10.18632/oncotarget.3631"/>
    <hyperlink ref="A215" r:id="rId211" display="10.21037/atm-21-2701"/>
    <hyperlink ref="A216" r:id="rId212" display="10.2147/dddt.s203974"/>
    <hyperlink ref="A217" r:id="rId213" display="10.2147/jir.s444758"/>
    <hyperlink ref="A218" r:id="rId214" display="10.22203/ecm.v030a07"/>
    <hyperlink ref="A219" r:id="rId215" display="10.22203/ecm.v032a08"/>
    <hyperlink ref="A220" r:id="rId216" display="10.2460/ajvr.73.10.1553"/>
    <hyperlink ref="A221" r:id="rId217" display="10.3233/jad-2010-100465"/>
    <hyperlink ref="A222" r:id="rId218" display="10.3389/fcell.2023.1324561"/>
    <hyperlink ref="A223" r:id="rId219" display="10.3389/fcell.2024.1423665"/>
    <hyperlink ref="A224" r:id="rId220" display="10.3389/fphar.2017.00756"/>
    <hyperlink ref="A225" r:id="rId221" display="10.3389/fphar.2024.1476255"/>
    <hyperlink ref="A226" r:id="rId222" display="10.3390/antiox13060626"/>
    <hyperlink ref="A227" r:id="rId223" display="10.3390/cells9010147"/>
    <hyperlink ref="A228" r:id="rId224" display="10.3390/ijms15011176"/>
    <hyperlink ref="A229" r:id="rId225" display="10.3390/ijms20040972"/>
    <hyperlink ref="A230" r:id="rId226" display="10.3390/ijms222011082"/>
    <hyperlink ref="A231" r:id="rId227" display="10.3390/ijms222111355"/>
    <hyperlink ref="A232" r:id="rId228" display="10.3390/ijms241210004"/>
    <hyperlink ref="A233" r:id="rId229" display="10.3724/abbs.2024027"/>
    <hyperlink ref="A234" r:id="rId230" display="10.3892/etm.2022.11193"/>
    <hyperlink ref="A235" r:id="rId231" display="10.3892/ijmm.2017.3005"/>
    <hyperlink ref="A236" r:id="rId232" display="10.3892/ijmm.2018.3921"/>
    <hyperlink ref="A237" r:id="rId233" display="10.3892/ijmm.2021.4956"/>
    <hyperlink ref="A238" r:id="rId234" display="10.3892/mmr.2013.1729"/>
    <hyperlink ref="A239" r:id="rId235" display="10.4049/jimmunol.1402554"/>
  </hyperlinks>
  <printOptions headings="false" gridLines="false" gridLinesSet="true" horizontalCentered="tru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36"/>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2026-10-11T10:14:19Z</dcterms:created>
  <dc:creator>openpyxl</dc:creator>
  <dc:description/>
  <dc:language>en-GB</dc:language>
  <cp:lastModifiedBy/>
  <dcterms:modified xsi:type="dcterms:W3CDTF">2026-10-11T12:14:21Z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