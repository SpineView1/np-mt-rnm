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comments2.xml" ContentType="application/vnd.openxmlformats-officedocument.spreadsheetml.comments+xml"/>
  <Override PartName="/xl/workbook.xml" ContentType="application/vnd.openxmlformats-officedocument.spreadsheetml.sheet.main+xml"/>
  <Override PartName="/xl/tables/table1.xml" ContentType="application/vnd.openxmlformats-officedocument.spreadsheetml.tabl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3.xml" ContentType="application/vnd.openxmlformats-officedocument.spreadsheetml.comments+xml"/>
  <Override PartName="/xl/theme/theme1.xml" ContentType="application/vnd.openxmlformats-officedocument.theme+xml"/>
  <Override PartName="/xl/drawings/vmlDrawing1.vml" ContentType="application/vnd.openxmlformats-officedocument.vmlDrawing"/>
  <Override PartName="/xl/drawings/drawing1.xml" ContentType="application/vnd.openxmlformats-officedocument.drawing+xml"/>
  <Override PartName="/xl/drawings/drawing3.xml" ContentType="application/vnd.openxmlformats-officedocument.drawing+xml"/>
  <Override PartName="/xl/drawings/vmlDrawing2.vml" ContentType="application/vnd.openxmlformats-officedocument.vmlDrawing"/>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hart1.xml" ContentType="application/vnd.openxmlformats-officedocument.drawingml.chart+xml"/>
  <Override PartName="/xl/charts/colors1.xml" ContentType="application/vnd.ms-office.chartcolorstyle+xml"/>
  <Override PartName="/xl/charts/style3.xml" ContentType="application/vnd.ms-office.chartstyle+xml"/>
  <Override PartName="/xl/charts/chart4.xml" ContentType="application/vnd.openxmlformats-officedocument.drawingml.chart+xml"/>
  <Override PartName="/xl/charts/chart3.xml" ContentType="application/vnd.openxmlformats-officedocument.drawingml.chart+xml"/>
  <Override PartName="/xl/charts/colors2.xml" ContentType="application/vnd.ms-office.chartcolorstyle+xml"/>
  <Override PartName="/xl/charts/style1.xml" ContentType="application/vnd.ms-office.chartstyle+xml"/>
  <Override PartName="/xl/charts/style4.xml" ContentType="application/vnd.ms-office.chartstyle+xml"/>
  <Override PartName="/xl/charts/colors3.xml" ContentType="application/vnd.ms-office.chartcolorstyle+xml"/>
  <Override PartName="/xl/charts/colors4.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Interactions" sheetId="2" state="visible" r:id="rId4"/>
    <sheet name="Summary statistics" sheetId="3" state="visible" r:id="rId5"/>
    <sheet name="Evidence review" sheetId="4" state="visible" r:id="rId6"/>
    <sheet name="Retraction screen" sheetId="5" state="visible" r:id="rId7"/>
  </sheets>
  <definedNames>
    <definedName function="false" hidden="false" localSheetId="3" name="_xlnm.Print_Titles" vbProcedure="false">'Evidence review'!$4:$4</definedName>
    <definedName function="false" hidden="true" localSheetId="3" name="_xlnm._FilterDatabase" vbProcedure="false">'Evidence review'!$A$4:$K$41</definedName>
    <definedName function="false" hidden="false" localSheetId="1" name="_xlnm.Print_Titles" vbProcedure="false">Interactions!$1:$1</definedName>
    <definedName function="false" hidden="false" localSheetId="4" name="_xlnm.Print_Titles" vbProcedure="false">'Retraction screen'!$4:$4</definedName>
    <definedName function="false" hidden="true" localSheetId="4" name="_xlnm._FilterDatabase" vbProcedure="false">'Retraction screen'!$A$4:$E$239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NP-MT-RNM</author>
  </authors>
  <commentList>
    <comment ref="E1" authorId="0">
      <text>
        <r>
          <rPr>
            <sz val="10"/>
            <rFont val="Arial"/>
            <family val="2"/>
          </rPr>
          <t xml:space="preserve">+1 = activation, −1 = inhibition. Derived from the Regulation column, which defines the model topology.</t>
        </r>
      </text>
    </comment>
    <comment ref="F1" authorId="0">
      <text>
        <r>
          <rPr>
            <sz val="10"/>
            <rFont val="Arial"/>
            <family val="2"/>
          </rPr>
          <t xml:space="preserve">First author, year and journal of the (first) supporting publication, from Crossref. The complete citation is in the last column.</t>
        </r>
      </text>
    </comment>
    <comment ref="L1" authorId="0">
      <text>
        <r>
          <rPr>
            <sz val="10"/>
            <rFont val="Arial"/>
            <family val="2"/>
          </rPr>
          <t xml:space="preserve">Present for the 37 interactions whose supporting evidence was reviewed or added during curation; full details in sheet 'Evidence review'.</t>
        </r>
      </text>
    </comment>
  </commentList>
</comments>
</file>

<file path=xl/comments3.xml><?xml version="1.0" encoding="utf-8"?>
<comments xmlns="http://schemas.openxmlformats.org/spreadsheetml/2006/main" xmlns:xdr="http://schemas.openxmlformats.org/drawingml/2006/spreadsheetDrawing">
  <authors>
    <author>NP-MT-RNM</author>
  </authors>
  <commentList>
    <comment ref="B12" authorId="0">
      <text>
        <r>
          <rPr>
            <sz val="10"/>
            <rFont val="Arial"/>
            <family val="2"/>
          </rPr>
          <t xml:space="preserve">Counted in Python from the DOI(s) column (several DOIs can share a cell).</t>
        </r>
      </text>
    </comment>
  </commentList>
</comments>
</file>

<file path=xl/sharedStrings.xml><?xml version="1.0" encoding="utf-8"?>
<sst xmlns="http://schemas.openxmlformats.org/spreadsheetml/2006/main" count="7420" uniqueCount="1907">
  <si>
    <t xml:space="preserve">NP-MT-RNM interaction corpus</t>
  </si>
  <si>
    <t xml:space="preserve">Supplementary Data 1 to: Workineh Z.G., Chemorion F.K. &amp; Noailly J. A systems-level network model reveals mechanical regulation of nucleus pulposus cell states.</t>
  </si>
  <si>
    <t xml:space="preserve">What this file contains</t>
  </si>
  <si>
    <t xml:space="preserve">Content</t>
  </si>
  <si>
    <t xml:space="preserve">The literature-curated regulatory interactions of the nucleus pulposus (NP) mechanotransduction regulatory network model (RNM): one row per directed, signed interaction, with the supporting experimental context and references.</t>
  </si>
  <si>
    <t xml:space="preserve">Interactions</t>
  </si>
  <si>
    <t xml:space="preserve">Nodes with at least one interaction</t>
  </si>
  <si>
    <t xml:space="preserve">Model and code</t>
  </si>
  <si>
    <t xml:space="preserve">Model, simulation code and SBML: np-mt-rnm, https://doi.org/10.5281/zenodo.23195857. Interactive web application: np-mt-rnm-web, https://doi.org/10.5281/zenodo.23204747.</t>
  </si>
  <si>
    <t xml:space="preserve">Sheets</t>
  </si>
  <si>
    <t xml:space="preserve">One row per interaction (source → target): regulation and sign, citation with DOI/PMID, harmonised experimental context, evidence note and retraction screen; then functional modules, experimental context as reported, and the full references. One line per interaction; select a cell to read its full content.</t>
  </si>
  <si>
    <t xml:space="preserve">Summary statistics</t>
  </si>
  <si>
    <t xml:space="preserve">Counts by cell type, species, experimental setting and functional module, with charts. All values are formulas on 'Interactions'.</t>
  </si>
  <si>
    <t xml:space="preserve">Evidence review</t>
  </si>
  <si>
    <t xml:space="preserve">37 interactions whose supporting evidence was added or re-examined during curation, with the evidence class and its limitations.</t>
  </si>
  <si>
    <t xml:space="preserve">Retraction screen</t>
  </si>
  <si>
    <t xml:space="preserve">Crossref check of every cited DOI for retraction, withdrawal or expression-of-concern notices.</t>
  </si>
  <si>
    <t xml:space="preserve">Columns of 'Interactions'</t>
  </si>
  <si>
    <t xml:space="preserve">Interaction ID</t>
  </si>
  <si>
    <t xml:space="preserve">Stable identifier NPMT-I001 … NPMT-I353.</t>
  </si>
  <si>
    <t xml:space="preserve">Source / Target</t>
  </si>
  <si>
    <t xml:space="preserve">Regulator and regulated node, using the node names of the model (Supplementary Table S1). Suffixes -M and -E denote Normal- and Hyper-loading state variables of the same molecule.</t>
  </si>
  <si>
    <t xml:space="preserve">Regulation / Sign</t>
  </si>
  <si>
    <t xml:space="preserve">activation (+1) or inhibition (−1). Sign is derived from Regulation.</t>
  </si>
  <si>
    <t xml:space="preserve">Source / Target module</t>
  </si>
  <si>
    <t xml:space="preserve">Primary functional module of each node, as used in the manuscript's figures.</t>
  </si>
  <si>
    <t xml:space="preserve">Cell type, Experimental model, Culture (as reported)</t>
  </si>
  <si>
    <t xml:space="preserve">Experimental context of the supporting evidence, as recorded during curation. 'Not reported' where it was not recorded.</t>
  </si>
  <si>
    <t xml:space="preserve">Cell-type group / Species group / Culture group</t>
  </si>
  <si>
    <t xml:space="preserve">Harmonised groups used for the summary statistics (definitions below).</t>
  </si>
  <si>
    <t xml:space="preserve">Citation</t>
  </si>
  <si>
    <t xml:space="preserve">First author, year and journal of the supporting publication (from Crossref); '+N more' when an interaction cites several.</t>
  </si>
  <si>
    <t xml:space="preserve">DOI(s) / PMID(s)</t>
  </si>
  <si>
    <t xml:space="preserve">Identifiers extracted from the references; the first DOI is a link.</t>
  </si>
  <si>
    <t xml:space="preserve">Full reference(s)</t>
  </si>
  <si>
    <t xml:space="preserve">The complete citation(s) as curated, in the last column.</t>
  </si>
  <si>
    <t xml:space="preserve">Evidence note</t>
  </si>
  <si>
    <t xml:space="preserve">Evidence class and limitation for the 37 reviewed interactions (highlighted).</t>
  </si>
  <si>
    <t xml:space="preserve">Result of the Crossref check for the DOI(s) in that row.</t>
  </si>
  <si>
    <t xml:space="preserve">Also cited in Table S2</t>
  </si>
  <si>
    <t xml:space="preserve">Marks the interactions whose reference is also cited in the falsification benchmark (Supplementary Table S2), with the benchmark marker.</t>
  </si>
  <si>
    <t xml:space="preserve">Definitions</t>
  </si>
  <si>
    <t xml:space="preserve">Unit of observation</t>
  </si>
  <si>
    <t xml:space="preserve">An interaction (row). One publication can support several interactions, so percentages describe interactions, not publications.</t>
  </si>
  <si>
    <t xml:space="preserve">Cell-type group</t>
  </si>
  <si>
    <t xml:space="preserve">Any NP / nucleus pulposus label (including NP/chondrocyte) → NP. Otherwise chondrocyte or cartilage → Chondrocyte / cartilage. All other, general or missing labels → Other / not reported.</t>
  </si>
  <si>
    <t xml:space="preserve">Species group</t>
  </si>
  <si>
    <t xml:space="preserve">Human, human + animal and recognised human cell lines → Human. Otherwise rat, mouse or murine → Animal. All other species and unspecified → Other / unspecified.</t>
  </si>
  <si>
    <t xml:space="preserve">Culture group</t>
  </si>
  <si>
    <t xml:space="preserve">In vitro, Ex vivo or In vivo when only one setting is recorded; Mixed when several are; Not reported when the field is empty.</t>
  </si>
  <si>
    <t xml:space="preserve">Limitations</t>
  </si>
  <si>
    <t xml:space="preserve">Evidence strength</t>
  </si>
  <si>
    <t xml:space="preserve">Most interactions are supported by direct experimental evidence in NP cells, chondrocytes or related cells. A minority rely on indirect, pathway-level, contextual or conflicting evidence; these are listed in 'Evidence review'. The presence of a reference is not by itself proof of the modelled sign.</t>
  </si>
  <si>
    <t xml:space="preserve">Experimental context</t>
  </si>
  <si>
    <t xml:space="preserve">Cell type, model and culture were not recorded for every interaction (see the 'Not reported' counts in 'Summary statistics').</t>
  </si>
  <si>
    <t xml:space="preserve">References without DOI</t>
  </si>
  <si>
    <t xml:space="preserve">Could not be included in the automated retraction screen.</t>
  </si>
  <si>
    <t xml:space="preserve">How to cite</t>
  </si>
  <si>
    <t xml:space="preserve">Paper</t>
  </si>
  <si>
    <t xml:space="preserve">Workineh Z.G., Chemorion F.K. &amp; Noailly J. A systems-level network model reveals mechanical regulation of nucleus pulposus cell states. (2026).</t>
  </si>
  <si>
    <t xml:space="preserve">Software and data</t>
  </si>
  <si>
    <t xml:space="preserve">Workineh Z.G., Chemorion F.K. &amp; Noailly J. np-mt-rnm. Zenodo (2026). https://doi.org/10.5281/zenodo.23195857</t>
  </si>
  <si>
    <t xml:space="preserve">Version</t>
  </si>
  <si>
    <t xml:space="preserve">Corpus of 353 interactions; file generated 2026-10-11.</t>
  </si>
  <si>
    <t xml:space="preserve">Source</t>
  </si>
  <si>
    <t xml:space="preserve">Regulation</t>
  </si>
  <si>
    <t xml:space="preserve">Target</t>
  </si>
  <si>
    <t xml:space="preserve">Sign</t>
  </si>
  <si>
    <t xml:space="preserve">DOI(s)</t>
  </si>
  <si>
    <t xml:space="preserve">PMID(s)</t>
  </si>
  <si>
    <t xml:space="preserve">Source module</t>
  </si>
  <si>
    <t xml:space="preserve">Target module</t>
  </si>
  <si>
    <t xml:space="preserve">Cell type (as reported)</t>
  </si>
  <si>
    <t xml:space="preserve">Experimental model (as reported)</t>
  </si>
  <si>
    <t xml:space="preserve">Culture (as reported)</t>
  </si>
  <si>
    <t xml:space="preserve">NPMT-I001</t>
  </si>
  <si>
    <t xml:space="preserve">HIF-1α</t>
  </si>
  <si>
    <t xml:space="preserve">activation</t>
  </si>
  <si>
    <t xml:space="preserve">ACAN</t>
  </si>
  <si>
    <t xml:space="preserve">Liu et al., 2017, Biochemical and Biophysical Research Communications</t>
  </si>
  <si>
    <t xml:space="preserve">10.1016/j.bbrc.2017.05.086</t>
  </si>
  <si>
    <t xml:space="preserve">28526405</t>
  </si>
  <si>
    <t xml:space="preserve">NP / nucleus pulposus</t>
  </si>
  <si>
    <t xml:space="preserve">Human</t>
  </si>
  <si>
    <t xml:space="preserve">In vitro</t>
  </si>
  <si>
    <t xml:space="preserve">Supported in NP — HIF-1α overexpression increased aggrecan</t>
  </si>
  <si>
    <t xml:space="preserve">No notice found</t>
  </si>
  <si>
    <t xml:space="preserve">Transcription Factors</t>
  </si>
  <si>
    <t xml:space="preserve">ECM anabolism &amp; phenotype markers</t>
  </si>
  <si>
    <t xml:space="preserve">Nucleus pulposus</t>
  </si>
  <si>
    <t xml:space="preserve">Human NP cells</t>
  </si>
  <si>
    <t xml:space="preserve">Liu Z, Li C, Meng X, Bai Y, Qi J, Wang J, Zhou Q, Zhang W, Zhang X. Hypoxia-inducible factor-1α mediates aggrecan and collagen II expression via NOTCH1 signaling in nucleus pulposus cells during intervertebral disc degeneration. Biochem Biophys Res Commun. 2017;488(3):554-561. doi: 10.1016/j.bbrc.2017.05.086. PMID: 28526405.</t>
  </si>
  <si>
    <t xml:space="preserve">NPMT-I002</t>
  </si>
  <si>
    <t xml:space="preserve">PPARγ</t>
  </si>
  <si>
    <t xml:space="preserve">Cheng et al., 2023, J Cellular Molecular Medi</t>
  </si>
  <si>
    <t xml:space="preserve">10.1111/jcmm.18048</t>
  </si>
  <si>
    <t xml:space="preserve">37986543</t>
  </si>
  <si>
    <t xml:space="preserve">NP</t>
  </si>
  <si>
    <t xml:space="preserve">Human/Rat</t>
  </si>
  <si>
    <t xml:space="preserve">2D, in vitro</t>
  </si>
  <si>
    <t xml:space="preserve">Cheng P, Wei HZ, Chen HW, Wang ZQ, Mao P, Zhang HH. DNMT3a-mediated methylation of PPARγ promote intervertebral disc degeneration by regulating the NF-κB pathway. J Cell Mol Med. 2024 Jan;28(2):e18048. doi: 10.1111/jcmm.18048. Epub 2023 Nov 20. PMID: 37986543; PMCID: PMC10826446.</t>
  </si>
  <si>
    <t xml:space="preserve">NPMT-I003</t>
  </si>
  <si>
    <t xml:space="preserve">SOX9</t>
  </si>
  <si>
    <t xml:space="preserve">Cheng et al., 2009, Journal Cellular Physiology</t>
  </si>
  <si>
    <t xml:space="preserve">10.1002/jcp.21904</t>
  </si>
  <si>
    <t xml:space="preserve">19711351</t>
  </si>
  <si>
    <t xml:space="preserve">Animal</t>
  </si>
  <si>
    <t xml:space="preserve">rat</t>
  </si>
  <si>
    <t xml:space="preserve">3D, in vitro</t>
  </si>
  <si>
    <t xml:space="preserve">Cheng CC, Uchiyama Y, Hiyama A, Gajghate S, Shapiro IM, Risbud MV. PI3K/AKT regulates aggrecan gene expression by modulating Sox9 expression and activity in nucleus pulposus cells of the intervertebral disc. J Cell Physiol. 2009 Dec;221(3):668-76. doi: 10.1002/jcp.21904. PMID: 19711351; PMCID: PMC3042319.</t>
  </si>
  <si>
    <t xml:space="preserve">NPMT-I004</t>
  </si>
  <si>
    <t xml:space="preserve">HIF-2α</t>
  </si>
  <si>
    <t xml:space="preserve">ADAMTS4/5</t>
  </si>
  <si>
    <t xml:space="preserve">Huang et al., 2019, Life Sciences</t>
  </si>
  <si>
    <t xml:space="preserve">10.1016/j.lfs.2019.116565</t>
  </si>
  <si>
    <t xml:space="preserve">31251999</t>
  </si>
  <si>
    <t xml:space="preserve">Cytokines, chemokines, proteases &amp; others</t>
  </si>
  <si>
    <t xml:space="preserve">human</t>
  </si>
  <si>
    <t xml:space="preserve">Huang Y, Wang Y, Wu C, Tian W. Elevated expression of hypoxia-inducible factor-2alpha regulated catabolic factors during intervertebral disc degeneration. Life Sci. 2019 Sep 1;232:116565. doi: 10.1016/j.lfs.2019.116565. Epub 2019 Jun 26. PMID: 31251999.</t>
  </si>
  <si>
    <t xml:space="preserve">NPMT-I005</t>
  </si>
  <si>
    <t xml:space="preserve">JNK</t>
  </si>
  <si>
    <t xml:space="preserve">Li et al., 2016, J Transl Med</t>
  </si>
  <si>
    <t xml:space="preserve">10.1186/s12967-016-0833-9</t>
  </si>
  <si>
    <t xml:space="preserve">26988982</t>
  </si>
  <si>
    <t xml:space="preserve">MAPK &amp; stress-activated kinases</t>
  </si>
  <si>
    <t xml:space="preserve">2d, in vitro</t>
  </si>
  <si>
    <t xml:space="preserve">Li JK, Nie L, Zhao YP, Zhang YQ, Wang X, Wang SS, Liu Y, Zhao H, Cheng L. IL-17 mediates inflammatory reactions via p38/c-Fos and JNK/c-Jun activation in an AP-1-dependent manner in human nucleus pulposus cells. J Transl Med. 2016 Mar 17;14:77. doi: 10.1186/s12967-016-0833-9. PMID: 26988982; PMCID: PMC4794827.</t>
  </si>
  <si>
    <t xml:space="preserve">NPMT-I006</t>
  </si>
  <si>
    <t xml:space="preserve">NF-κB</t>
  </si>
  <si>
    <t xml:space="preserve">Sun et al., 2015, J Orthop Surg Res</t>
  </si>
  <si>
    <t xml:space="preserve">10.1186/s13018-015-0296-3</t>
  </si>
  <si>
    <t xml:space="preserve">26438479</t>
  </si>
  <si>
    <t xml:space="preserve">Sun Z, Yin Z, Liu C, Liang H, Jiang M, Tian J. IL-1β promotes ADAMTS enzyme-mediated aggrecan degradation through NF-κB in human intervertebral disc. J Orthop Surg Res. 2015 Oct 6;10:159. doi: 10.1186/s13018-015-0296-3. PMID: 26438479; PMCID: PMC4594913.</t>
  </si>
  <si>
    <t xml:space="preserve">NPMT-I007</t>
  </si>
  <si>
    <t xml:space="preserve">P38</t>
  </si>
  <si>
    <t xml:space="preserve">Xue et al., 2013, Molecular Medicine Reports</t>
  </si>
  <si>
    <t xml:space="preserve">10.3892/mmr.2013.1729</t>
  </si>
  <si>
    <t xml:space="preserve">24126638</t>
  </si>
  <si>
    <t xml:space="preserve">Chondrocyte / cartilage</t>
  </si>
  <si>
    <t xml:space="preserve">Partial: ADAMTS4 only — p38 dependent TNF-α induction of ADAMTS4; NOT demonstrated for ADAMTS5</t>
  </si>
  <si>
    <t xml:space="preserve">Chondrocytes</t>
  </si>
  <si>
    <t xml:space="preserve">Human osteoarthritic chondrocytes</t>
  </si>
  <si>
    <t xml:space="preserve">Xue J, Wang J, Liu Q, Luo A. Tumor necrosis factor-α induces ADAMTS-4 expression in human osteoarthritis chondrocytes. Mol Med Rep. 2013;8(6):1755-1760. doi: 10.3892/mmr.2013.1729. PMID: 24126638.</t>
  </si>
  <si>
    <t xml:space="preserve">NPMT-I008</t>
  </si>
  <si>
    <t xml:space="preserve">inhibition</t>
  </si>
  <si>
    <t xml:space="preserve">NPMT-I009</t>
  </si>
  <si>
    <t xml:space="preserve">mTORC2</t>
  </si>
  <si>
    <t xml:space="preserve">AKT1-E</t>
  </si>
  <si>
    <t xml:space="preserve">Ito et al., 2017, Osteoarthritis and Cartilage</t>
  </si>
  <si>
    <t xml:space="preserve">10.1016/j.joca.2017.08.019</t>
  </si>
  <si>
    <t xml:space="preserve">28888905</t>
  </si>
  <si>
    <t xml:space="preserve">Metabolic &amp; related</t>
  </si>
  <si>
    <t xml:space="preserve">Ito M, Yurube T, Kakutani K, Maeno K, Takada T, Terashima Y, Kakiuchi Y, Takeoka Y, Miyazaki S, Kuroda R, Nishida K. Selective interference of mTORC1/RAPTOR protects against human disc cellular apoptosis, senescence, and extracellular matrix catabolism with Akt and autophagy induction. Osteoarthritis Cartilage. 2017 Dec;25(12):2134-2146. doi: 10.1016/j.joca.2017.08.019. Epub 2017 Sep 6. PMID: 28888905.</t>
  </si>
  <si>
    <t xml:space="preserve">NPMT-I010</t>
  </si>
  <si>
    <t xml:space="preserve">PDK1-E</t>
  </si>
  <si>
    <t xml:space="preserve">Dangelmaier et al., 2014, Thromb Haemost</t>
  </si>
  <si>
    <t xml:space="preserve">10.1160/th13-06-0484</t>
  </si>
  <si>
    <t xml:space="preserve">24352480</t>
  </si>
  <si>
    <t xml:space="preserve">Other / not reported</t>
  </si>
  <si>
    <t xml:space="preserve">Other / unspecified</t>
  </si>
  <si>
    <t xml:space="preserve">Not reported</t>
  </si>
  <si>
    <t xml:space="preserve">Dangelmaier C, Manne BK, Liverani E, Jin J, Bray P, Kunapuli SP. PDK1 selectively phosphorylates Thr(308) on Akt and contributes to human platelet functional responses. Thromb Haemost. 2014 Mar 3;111(3):508-17. doi: 10.1160/TH13-06-0484. Epub 2013 Dec 19. PMID: 24352480; PMCID: PMC4079046.</t>
  </si>
  <si>
    <t xml:space="preserve">NPMT-I011</t>
  </si>
  <si>
    <t xml:space="preserve">PIP3-M</t>
  </si>
  <si>
    <t xml:space="preserve">Stokoe et al., 1997, Science</t>
  </si>
  <si>
    <t xml:space="preserve">10.1126/science.277.5325.567</t>
  </si>
  <si>
    <t xml:space="preserve">9228007</t>
  </si>
  <si>
    <t xml:space="preserve">Contextual; direction conflicts — PIP3 recruits and promotes activation of AKT; no M-to-E cross-compartment inhibition shown. Cited because it directly studies PIP3 and AKT1, but it supports activation and does not validate negative sign or M/E topology</t>
  </si>
  <si>
    <t xml:space="preserve">Stokoe D, Stephens LR, Copeland T, Gaffney PR, Reese CB, Painter GF, Holmes AB, McCormick F, Hawkins PT. Dual role of phosphatidylinositol-3,4,5-trisphosphate in the activation of protein kinase B. Science. 1997;277(5325):567-570. doi: 10.1126/science.277.5325.567. PMID: 9228007.</t>
  </si>
  <si>
    <t xml:space="preserve">NPMT-I012</t>
  </si>
  <si>
    <t xml:space="preserve">AKT1-M</t>
  </si>
  <si>
    <t xml:space="preserve">NPMT-I013</t>
  </si>
  <si>
    <t xml:space="preserve">PDK1-M</t>
  </si>
  <si>
    <t xml:space="preserve">NPMT-I014</t>
  </si>
  <si>
    <t xml:space="preserve">PIP3-E</t>
  </si>
  <si>
    <t xml:space="preserve">Contextual; direction conflicts — PIP3 recruits and promotes activation of AKT; no E-to-M cross-compartment inhibition shown. Same primary paper supports generic PIP3–AKT molecular interaction, not negative sign or compartment-specific effect</t>
  </si>
  <si>
    <t xml:space="preserve">NPMT-I015</t>
  </si>
  <si>
    <t xml:space="preserve">Ca2+os</t>
  </si>
  <si>
    <t xml:space="preserve">AMPK</t>
  </si>
  <si>
    <t xml:space="preserve">Woods et al., 2005, Cell Metabolism</t>
  </si>
  <si>
    <t xml:space="preserve">10.1016/j.cmet.2005.06.005</t>
  </si>
  <si>
    <t xml:space="preserve">16054096</t>
  </si>
  <si>
    <t xml:space="preserve">Indirect mechanistic support — Ca2+ can activate AMPK via CaMKKβ; osmotic compartment not tested.</t>
  </si>
  <si>
    <t xml:space="preserve">Ion channels &amp; related</t>
  </si>
  <si>
    <t xml:space="preserve">Woods A, Dickerson K, Heath R, et al. Ca2+/calmodulin-dependent protein kinase kinase-beta acts upstream of AMP-activated protein kinase in mammalian cells. Cell Metab. 2005;2(1):21-33. doi: 10.1016/j.cmet.2005.06.005. PMID: 16054096.</t>
  </si>
  <si>
    <t xml:space="preserve">NPMT-I016</t>
  </si>
  <si>
    <t xml:space="preserve">LKB1</t>
  </si>
  <si>
    <t xml:space="preserve">Petursson et al., 2013, Arthritis Res Ther</t>
  </si>
  <si>
    <t xml:space="preserve">10.1186/ar4254</t>
  </si>
  <si>
    <t xml:space="preserve">23883619</t>
  </si>
  <si>
    <t xml:space="preserve">Chondrocyte</t>
  </si>
  <si>
    <t xml:space="preserve">mouse</t>
  </si>
  <si>
    <t xml:space="preserve">Petursson F, Husa M, June R, Lotz M, Terkeltaub R, Liu-Bryan R. Linked decreases in liver kinase B1 and AMP-activated protein kinase activity modulate matrix catabolic responses to biomechanical injury in chondrocytes. Arthritis Res Ther. 2013 Jul 25;15(4):R77. doi: 10.1186/ar4254. PMID: 23883619; PMCID: PMC3979085.</t>
  </si>
  <si>
    <t xml:space="preserve">NPMT-I017</t>
  </si>
  <si>
    <t xml:space="preserve">ROS</t>
  </si>
  <si>
    <t xml:space="preserve">Emerling et al., 2009, Free Radical Biology and Medicine</t>
  </si>
  <si>
    <t xml:space="preserve">10.1016/j.freeradbiomed.2009.02.019</t>
  </si>
  <si>
    <t xml:space="preserve">19268526</t>
  </si>
  <si>
    <t xml:space="preserve">Supported in other cells — ROS-dependent AMPK activation in hypoxic cultured cells; not NP-specific</t>
  </si>
  <si>
    <t xml:space="preserve">Oxidative-stress defense &amp; proteostasis</t>
  </si>
  <si>
    <t xml:space="preserve">Other cells</t>
  </si>
  <si>
    <t xml:space="preserve">Mouse embryonic fibroblasts / osteosarcoma cells</t>
  </si>
  <si>
    <t xml:space="preserve">Emerling BM, Weinberg F, Snyder C, Burgess Z, Mutlu GM, Viollet B, Budinger GRS, Chandel NS. Hypoxic activation of AMPK is dependent on mitochondrial ROS but independent of an increase in AMP/ATP ratio. Free Radic Biol Med. 2009;46(10):1386-1391. doi: 10.1016/j.freeradbiomed.2009.02.019. PMID: 19268526.</t>
  </si>
  <si>
    <t xml:space="preserve">NPMT-I018</t>
  </si>
  <si>
    <t xml:space="preserve">mTORC1</t>
  </si>
  <si>
    <t xml:space="preserve">Ling et al., 2020, Nat Metab</t>
  </si>
  <si>
    <t xml:space="preserve">10.1038/s42255-019-0157-1</t>
  </si>
  <si>
    <t xml:space="preserve">31993556</t>
  </si>
  <si>
    <t xml:space="preserve">Ling NXY, Kaczmarek A, Hoque A, Davie E, Ngoei KRW, Morrison KR, Smiles WJ, Forte GM, Wang T, Lie S, Dite TA, Langendorf CG, Scott JW, Oakhill JS, Petersen J. mTORC1 directly inhibition AMPK to promote cell proliferation under nutrient stress. Nat Metab. 2020 Jan;2(1):41-49. doi: 10.1038/s42255-019-0157-1. Epub 2020 Jan 20. PMID: 31993556; PMCID: PMC6986917.</t>
  </si>
  <si>
    <t xml:space="preserve">NPMT-I019</t>
  </si>
  <si>
    <t xml:space="preserve">CREB</t>
  </si>
  <si>
    <t xml:space="preserve">ANXA1</t>
  </si>
  <si>
    <t xml:space="preserve">Antonicelli et al., 2001</t>
  </si>
  <si>
    <t xml:space="preserve">Not screened (no DOI)</t>
  </si>
  <si>
    <t xml:space="preserve">Other / unclassified</t>
  </si>
  <si>
    <t xml:space="preserve">General</t>
  </si>
  <si>
    <t xml:space="preserve">Antonicelli F, De Coupade C, Russo-Marie F, Le Garrec Y. CREB is involved in mouse annexin A1 regulation by cAMP and glucocorticoids. Eur J Biochem. 2001 Jan;268(1)</t>
  </si>
  <si>
    <t xml:space="preserve">NPMT-I020</t>
  </si>
  <si>
    <t xml:space="preserve">ERK-E</t>
  </si>
  <si>
    <t xml:space="preserve">AP-1</t>
  </si>
  <si>
    <t xml:space="preserve">Papachristou et al., 2005, Histochem Cell Biol</t>
  </si>
  <si>
    <t xml:space="preserve">10.1007/s00418-005-0026-8</t>
  </si>
  <si>
    <t xml:space="preserve">16041628</t>
  </si>
  <si>
    <t xml:space="preserve">Papachristou DJ, Pirttiniemi P, Kantomaa T, Papavassiliou AG, Basdra EK. JNK/ERK-AP-1/Runx2 induction "paves the way" to cartilage load-ignited chondroblastic differentiation. Histochem Cell Biol. 2005 Sep;124(3-4):215-23. doi: 10.1007/s00418-005-0026-8. Epub 2005 Oct 28. PMID: 16041628.</t>
  </si>
  <si>
    <t xml:space="preserve">NPMT-I021</t>
  </si>
  <si>
    <t xml:space="preserve">NPMT-I022</t>
  </si>
  <si>
    <t xml:space="preserve">NPMT-I023</t>
  </si>
  <si>
    <t xml:space="preserve">Fahmi et al., 2001, Arthritis &amp; Rheumatism</t>
  </si>
  <si>
    <t xml:space="preserve">10.1002/1529-0131(200103)44:3&lt;595::aid-anr108&gt;3.0.co;2-8</t>
  </si>
  <si>
    <t xml:space="preserve">11263774</t>
  </si>
  <si>
    <t xml:space="preserve">chondrocyte</t>
  </si>
  <si>
    <t xml:space="preserve">Fahmi H, Di Battista JA, Pelletier JP, Mineau F, Ranger P, Martel-Pelletier J. Peroxisome proliferator--activated receptor gamma activators inhibit interleukin-1beta-induced nitric oxide and matrix metalloproteinase 13 production in human chondrocytes. Arthritis Rheum. 2001 Mar;44(3):595-607. doi: 10.1002/1529-0131(200103)44:3&lt;595::AID-ANR108&gt;3.0.CO;2-8. PMID: 11263774.</t>
  </si>
  <si>
    <t xml:space="preserve">NPMT-I024</t>
  </si>
  <si>
    <t xml:space="preserve">He et al., 2016, Development (+1 more)</t>
  </si>
  <si>
    <t xml:space="preserve">10.1242/dev.134502; 10.1038/s41556-023-01184-y</t>
  </si>
  <si>
    <t xml:space="preserve">27471255</t>
  </si>
  <si>
    <t xml:space="preserve">Mixed</t>
  </si>
  <si>
    <t xml:space="preserve">contextual / conflicting, NOT sign-validated — Context-dependent cooperation or altered occupancy; not general inhibition.</t>
  </si>
  <si>
    <t xml:space="preserve">Chondrocytes; epidermal stem cells</t>
  </si>
  <si>
    <t xml:space="preserve">Mouse chondrocytes; epidermal stem cells</t>
  </si>
  <si>
    <t xml:space="preserve">In vivo / in vitro</t>
  </si>
  <si>
    <t xml:space="preserve">He X, Ohba S, Hojo H, McMahon AP. AP-1 family members act with Sox9 to promote chondrocyte hypertrophy. Development. 2016;143(16):3012-3023. doi: 10.1242/dev.134502. PMID: 27471255. | Yang Y, Gomez N, Infarinato N, et al. The pioneer factor SOX9 competes for epigenetic factors to switch stem cell fates. Nat Cell Biol. 2023;25:1185-1195. doi: 10.1038/s41556-023-01184-y. | [Evidence caveat: Context-dependent cooperation or altered occupancy; not general inhibition.]</t>
  </si>
  <si>
    <t xml:space="preserve">NPMT-I025</t>
  </si>
  <si>
    <t xml:space="preserve">AQP1</t>
  </si>
  <si>
    <t xml:space="preserve">Johnson et al., 2015, Oncotarget</t>
  </si>
  <si>
    <t xml:space="preserve">10.18632/oncotarget.3631</t>
  </si>
  <si>
    <t xml:space="preserve">25844601</t>
  </si>
  <si>
    <t xml:space="preserve">Johnson ZI, Gogate SS, Day R, Binch A, Markova DZ, Chiverton N, Cole A, Conner M, Shapiro IM, Le Maitre CL, Risbud MV. Aquaporin 1 and 5 expression decreases during human intervertebral disc degeneration: Novel HIF-1-mediated regulation of aquaporins in NP cells. Oncotarget. 2015 May 20;6(14):11945-58. doi: 10.18632/oncotarget.3631. PMID: 25844601; PMCID: PMC4494915.</t>
  </si>
  <si>
    <t xml:space="preserve">NPMT-I026</t>
  </si>
  <si>
    <t xml:space="preserve">TonEBP</t>
  </si>
  <si>
    <t xml:space="preserve">Snuggs et al., 2021, Sci Rep</t>
  </si>
  <si>
    <t xml:space="preserve">10.1038/s41598-021-81838-9</t>
  </si>
  <si>
    <t xml:space="preserve">Snuggs, J.W., Tessier, S., Bunning, R.A.B. et al. TonEBP regulates the hyperosmotic expression of aquaporin 1 and 5 in the intervertebral disc. Sci Rep 11, 3164 (2021). https://doi.org/10.1038/s41598-021-81838-9</t>
  </si>
  <si>
    <t xml:space="preserve">NPMT-I027</t>
  </si>
  <si>
    <t xml:space="preserve">Sada et al., 2016, PLoS ONE</t>
  </si>
  <si>
    <t xml:space="preserve">10.1371/journal.pone.0158619</t>
  </si>
  <si>
    <t xml:space="preserve">27383386</t>
  </si>
  <si>
    <t xml:space="preserve">Sada K, Nishikawa T, Kukidome D, Yoshinaga T, Kajihara N, Sonoda K, Senokuchi T, Motoshima H, Matsumura T, Araki E. Hyperglycemia Induces Cellular Hypoxia through Production of Mitochondrial ROS Followed by Suppression of Aquaporin-1. PLoS One. 2016 Jul 6;11(7):e0158619. doi: 10.1371/journal.pone.0158619. PMID: 27383386; PMCID: PMC4934928.</t>
  </si>
  <si>
    <t xml:space="preserve">NPMT-I028</t>
  </si>
  <si>
    <t xml:space="preserve">AQP5</t>
  </si>
  <si>
    <t xml:space="preserve">NPMT-I029</t>
  </si>
  <si>
    <t xml:space="preserve">NPMT-I030</t>
  </si>
  <si>
    <t xml:space="preserve">Mlinarić et al., 2024, Antioxidants</t>
  </si>
  <si>
    <t xml:space="preserve">10.3390/antiox13060626</t>
  </si>
  <si>
    <t xml:space="preserve">38929065</t>
  </si>
  <si>
    <t xml:space="preserve">Mlinarić M, Lučić I, Tomljanović M, Tartaro Bujak I, Milković L, Čipak Gašparović A. AQP3 and AQP5 Modulation in Response to Prolonged Oxidative Stress in Breast Cancer Cell Lines. Antioxidants (Basel). 2024 May 21;13(6):626. doi: 10.3390/antiox13060626. PMID: 38929065; PMCID: PMC11200458.</t>
  </si>
  <si>
    <t xml:space="preserve">NPMT-I031</t>
  </si>
  <si>
    <t xml:space="preserve">BAD</t>
  </si>
  <si>
    <t xml:space="preserve">Zou et al., 2024, The American Journal of Pathology</t>
  </si>
  <si>
    <t xml:space="preserve">10.1016/j.ajpath.2024.05.004</t>
  </si>
  <si>
    <t xml:space="preserve">38879082</t>
  </si>
  <si>
    <t xml:space="preserve">Zou M, Chen W, Li J, Qi X, Wang X, Liu F, Hu J, Zhang Q. Apoptosis Signal-Regulated Kinase-1 Promotes Nucleus Pulposus Cell Senescence and Apoptosis to Regulate Intervertebral Disc Degeneration. Am J Pathol. 2024 Sep;194(9):1737-1751. doi: 10.1016/j.ajpath.2024.05.004. Epub 2024 Jun 13. PMID: 38879082.</t>
  </si>
  <si>
    <t xml:space="preserve">NPMT-I032</t>
  </si>
  <si>
    <t xml:space="preserve">Qian et al., 2023, J Orthop Surg Res</t>
  </si>
  <si>
    <t xml:space="preserve">10.1186/s13018-023-03815-4</t>
  </si>
  <si>
    <t xml:space="preserve">37328786</t>
  </si>
  <si>
    <t xml:space="preserve">In vivo</t>
  </si>
  <si>
    <t xml:space="preserve">Cartilage tissue</t>
  </si>
  <si>
    <t xml:space="preserve">Mouse</t>
  </si>
  <si>
    <t xml:space="preserve">Qian J, Zhao P, Xu Q, Yang W, Cai R. Swimming prevents cell death of chondrocytes via PI3K/AKT pathway in an experimental model. J Orthop Surg Res. 2023 Jun 17;18(1):439. doi: 10.1186/s13018-023-03815-4. PMID: 37328786; PMCID: PMC10276397.</t>
  </si>
  <si>
    <t xml:space="preserve">NPMT-I033</t>
  </si>
  <si>
    <t xml:space="preserve">BAX</t>
  </si>
  <si>
    <t xml:space="preserve">Gao et al., 2018, Med Sci Monit</t>
  </si>
  <si>
    <t xml:space="preserve">10.12659/msm.913726</t>
  </si>
  <si>
    <t xml:space="preserve">30557884</t>
  </si>
  <si>
    <t xml:space="preserve">Cell survival, apoptosis &amp; mitophagy/DNA-damage</t>
  </si>
  <si>
    <t xml:space="preserve">Gao G, Ding H, Zhuang C, Fan W. Effects of Hesperidin on H₂O₂-Treated Chondrocytes and Cartilage in a Rat Osteoarthritis Model. Med Sci Monit. 2018 Dec 17;24:9177-9186. doi: 10.12659/MSM.913726. PMID: 30557884; PMCID: PMC6319163.</t>
  </si>
  <si>
    <t xml:space="preserve">NPMT-I034</t>
  </si>
  <si>
    <t xml:space="preserve">Bcl2</t>
  </si>
  <si>
    <t xml:space="preserve">Dlugosz et al., 2006, EMBO J</t>
  </si>
  <si>
    <t xml:space="preserve">10.1038/sj.emboj.7601126</t>
  </si>
  <si>
    <t xml:space="preserve">16642033</t>
  </si>
  <si>
    <t xml:space="preserve">Dlugosz PJ, Billen LP, Annis MG, Zhu W, Zhang Z, Lin J, Leber B, Andrews DW. Bcl-2 changes conformation to inhibit Bax oligomerization. EMBO J. 2006 Jun 7;25(11):2287-96. doi: 10.1038/sj.emboj.7601126. Epub 2006 Apr 27. PMID: 16642033; PMCID: PMC1478188.</t>
  </si>
  <si>
    <t xml:space="preserve">NPMT-I035</t>
  </si>
  <si>
    <t xml:space="preserve">NPMT-I036</t>
  </si>
  <si>
    <t xml:space="preserve">NPMT-I037</t>
  </si>
  <si>
    <t xml:space="preserve">Ma et al., 2007, J of Cellular Biochemistry</t>
  </si>
  <si>
    <t xml:space="preserve">10.1002/jcb.21198</t>
  </si>
  <si>
    <t xml:space="preserve">17219413</t>
  </si>
  <si>
    <t xml:space="preserve">chondrocytes</t>
  </si>
  <si>
    <t xml:space="preserve">in vivo</t>
  </si>
  <si>
    <t xml:space="preserve">Ma Q, Li X, Vale-Cruz D, Brown ML, Beier F, LuValle P. Activating transcription factor 2 controls Bcl-2 promoter activity in growth plate chondrocytes. J Cell Biochem. 2007 May 15;101(2):477-87. doi: 10.1002/jcb.21198. PMID: 17219413.</t>
  </si>
  <si>
    <t xml:space="preserve">NPMT-I038</t>
  </si>
  <si>
    <t xml:space="preserve">NPMT-I039</t>
  </si>
  <si>
    <t xml:space="preserve">Kale et al., 2017, Cell Death Differ</t>
  </si>
  <si>
    <t xml:space="preserve">10.1038/cdd.2017.186</t>
  </si>
  <si>
    <t xml:space="preserve">Kale, J., Osterlund, E. &amp; Andrews, D. BCL-2 family proteins: changing partners in the dance towards death. Cell Death Differ 25, 65–80 (2018). https://doi.org/10.1038/cdd.2017.186</t>
  </si>
  <si>
    <t xml:space="preserve">NPMT-I040</t>
  </si>
  <si>
    <t xml:space="preserve">NPMT-I041</t>
  </si>
  <si>
    <t xml:space="preserve">BMP2</t>
  </si>
  <si>
    <t xml:space="preserve">Wu et al., 2008</t>
  </si>
  <si>
    <t xml:space="preserve">Growth factors</t>
  </si>
  <si>
    <t xml:space="preserve">osteoblast</t>
  </si>
  <si>
    <t xml:space="preserve">murine</t>
  </si>
  <si>
    <t xml:space="preserve">Wu, J. B., Fong, Y. C., Tsai, H. Y., Chen, Y. F., Tsuzuki, M., &amp; Tang, C. H. (2008). Naringin-induced bone morphogenetic protein-2 expression via PI3K, Akt, c-Fos/c-Jun and AP-1 pathway in osteoblasts. European journal of pharmacology, 588(2-3), 333-341.</t>
  </si>
  <si>
    <t xml:space="preserve">NPMT-I042</t>
  </si>
  <si>
    <t xml:space="preserve">Sandell et al., 2008, Osteoarthritis and Cartilage</t>
  </si>
  <si>
    <t xml:space="preserve">10.1016/j.joca.2008.04.027</t>
  </si>
  <si>
    <t xml:space="preserve">18565769</t>
  </si>
  <si>
    <t xml:space="preserve">2D/3D, ex vivo/in vitro</t>
  </si>
  <si>
    <t xml:space="preserve">Sandell LJ, Xing X, Franz C, Davies S, Chang LW, Patra D. Exuberant expression of chemokine genes by adult human articular chondrocytes in response to IL-1beta. Osteoarthritis Cartilage. 2008 Dec;16(12):1560-71. doi: 10.1016/j.joca.2008.04.027. Epub 2008 Jun 18. PMID: 18565769; PMCID: PMC2605974.</t>
  </si>
  <si>
    <t xml:space="preserve">NPMT-I043</t>
  </si>
  <si>
    <t xml:space="preserve">RUNX2</t>
  </si>
  <si>
    <t xml:space="preserve">Choi et al., 2005, Developmental Dynamics</t>
  </si>
  <si>
    <t xml:space="preserve">10.1002/dvdy.20323</t>
  </si>
  <si>
    <t xml:space="preserve">15765505</t>
  </si>
  <si>
    <t xml:space="preserve">general</t>
  </si>
  <si>
    <t xml:space="preserve">Choi KY, Kim HJ, Lee MH, Kwon TG, Nah HD, Furuichi T, Komori T, Nam SH, Kim YJ, Kim HJ, Ryoo HM. Runx2 regulates FGF2-induced Bmp2 expression during cranial bone development. Dev Dyn. 2005 May;233(1):115-21. doi: 10.1002/dvdy.20323. PMID: 15765505.</t>
  </si>
  <si>
    <t xml:space="preserve">NPMT-I044</t>
  </si>
  <si>
    <t xml:space="preserve">BNIP3</t>
  </si>
  <si>
    <t xml:space="preserve">Madhu et al., 2020, Journal of Bone and Mineral Research</t>
  </si>
  <si>
    <t xml:space="preserve">10.1002/jbmr.4019</t>
  </si>
  <si>
    <t xml:space="preserve">32251541</t>
  </si>
  <si>
    <t xml:space="preserve">Madhu V, Boneski PK, Silagi E, Qiu Y, Kurland I, Guntur AR, Shapiro IM, Risbud MV. Hypoxic Regulation of Mitochondrial Metabolism and Mitophagy in Nucleus Pulposus Cells Is Dependent on HIF-1α-BNIP3 Axis. J Bone Miner Res. 2020 Aug;35(8):1504-1524. doi: 10.1002/jbmr.4019. Epub 2020 May 15. PMID: 32251541; PMCID: PMC7778522.</t>
  </si>
  <si>
    <t xml:space="preserve">NPMT-I045</t>
  </si>
  <si>
    <t xml:space="preserve">NRF2</t>
  </si>
  <si>
    <t xml:space="preserve">Riis et al., 2020, Cells</t>
  </si>
  <si>
    <t xml:space="preserve">10.3390/cells9010147</t>
  </si>
  <si>
    <t xml:space="preserve">31936236</t>
  </si>
  <si>
    <t xml:space="preserve">Riis S, Murray JB, O'Connor R. IGF-1 Signalling Regulates Mitochondria Dynamics and Turnover through a Conserved GSK-3β-Nrf2-BNIP3 Pathway. Cells. 2020 Jan 8;9(1):147. doi: 10.3390/cells9010147. PMID: 31936236; PMCID: PMC7016769.</t>
  </si>
  <si>
    <t xml:space="preserve">NPMT-I046</t>
  </si>
  <si>
    <t xml:space="preserve">TRPV4</t>
  </si>
  <si>
    <t xml:space="preserve">Leni &amp; Peter W. May Department of Orthopaedics, Box 1188, Icahn School of Medicine at Mount Sinai, New York, NY 10029, USA. et al., 2016, eCM</t>
  </si>
  <si>
    <t xml:space="preserve">10.22203/ecm.v032a08</t>
  </si>
  <si>
    <t xml:space="preserve">27434269</t>
  </si>
  <si>
    <t xml:space="preserve">Mechanical stimuli &amp; its receptors</t>
  </si>
  <si>
    <t xml:space="preserve">NP/AF</t>
  </si>
  <si>
    <t xml:space="preserve">bovine/human</t>
  </si>
  <si>
    <t xml:space="preserve">2D, in vitro/ex vivo</t>
  </si>
  <si>
    <t xml:space="preserve">Walter BA, Purmessur D, Moon A, Occhiogrosso J, Laudier DM, Hecht AC, Iatridis JC. Reduced tissue osmolarity increases TRPV4 expression and pro-inflammatory cytokines in intervertebral disc cells. Eur Cell Mater. 2016 Jul 19;32:123-36. doi: 10.22203/ecm.v032a08. PMID: 27434269; PMCID: PMC5072776.</t>
  </si>
  <si>
    <t xml:space="preserve">NPMT-I047</t>
  </si>
  <si>
    <t xml:space="preserve">IP3</t>
  </si>
  <si>
    <t xml:space="preserve">Ca2+su</t>
  </si>
  <si>
    <t xml:space="preserve">Ekstein et al., 2005, Steroids</t>
  </si>
  <si>
    <t xml:space="preserve">10.1016/j.steroids.2005.04.007</t>
  </si>
  <si>
    <t xml:space="preserve">16005036</t>
  </si>
  <si>
    <t xml:space="preserve">Supported in chondrocytes — IP3 production drives calcium release from endoplasmic reticulum</t>
  </si>
  <si>
    <t xml:space="preserve">Growth-plate chondrocytes</t>
  </si>
  <si>
    <t xml:space="preserve">Ekstein J, Nasatzky E, Boyan BD, Ornoy A, Schwartz Z. Growth-plate chondrocytes respond to 17beta-estradiol with sex-specific increases in IP3 and intracellular calcium ion signalling via a capacitative entry mechanism. Steroids. 2005;70(11):775-786. doi: 10.1016/j.steroids.2005.04.007. PMID: 16005036.</t>
  </si>
  <si>
    <t xml:space="preserve">NPMT-I048</t>
  </si>
  <si>
    <t xml:space="preserve">PIEZO1</t>
  </si>
  <si>
    <t xml:space="preserve">Sun et al., 2020, International Immunopharmacology</t>
  </si>
  <si>
    <t xml:space="preserve">10.1016/j.intimp.2020.106681</t>
  </si>
  <si>
    <t xml:space="preserve">32526681</t>
  </si>
  <si>
    <t xml:space="preserve">Sun Y, Leng P, Song M, Li D, Guo P, Xu X, Gao H, Li Z, Li C, Zhang H. Piezo1 activation the NLRP3 inflammasome in nucleus pulposus cell-mediated by Ca2+/NF-κB pathway. Int Immunopharmacol. 2020 Aug;85:106681. doi: 10.1016/j.intimp.2020.106681. Epub 2020 Jun 8. PMID: 32526681.</t>
  </si>
  <si>
    <t xml:space="preserve">NPMT-I049</t>
  </si>
  <si>
    <t xml:space="preserve">CaMKII</t>
  </si>
  <si>
    <t xml:space="preserve">Nalesso et al., 2021, Sci Rep</t>
  </si>
  <si>
    <t xml:space="preserve">10.1038/s41598-021-82067-w</t>
  </si>
  <si>
    <t xml:space="preserve">Nalesso, G., Thorup, AS., Eldridge, S.E. et al. Calcium calmodulin kinase II activity is required for cartilage homeostasis in osteoarthritis. Sci Rep 11, 5682 (2021). https://doi.org/10.1038/s41598-021-82067-w</t>
  </si>
  <si>
    <t xml:space="preserve">NPMT-I050</t>
  </si>
  <si>
    <t xml:space="preserve">CaN</t>
  </si>
  <si>
    <t xml:space="preserve">Huang et al., 2020, Exp Mol Med</t>
  </si>
  <si>
    <t xml:space="preserve">10.1038/s12276-020-0441-x</t>
  </si>
  <si>
    <t xml:space="preserve">32467610</t>
  </si>
  <si>
    <t xml:space="preserve">Huang B, He Y, Li S, Wei X, Liu J, Shan Z, Huang Y, Chen J, Zhao F. The RCAN1.4-calcineurin/NFAT signaling pathway is essential for hypoxic adaption of intervertebral discs. Exp Mol Med. 2020 May;52(5):865-875. doi: 10.1038/s12276-020-0441-x. Epub 2020 May 29. PMID: 32467610; PMCID: PMC7272636.  Lin, W., Shi, C., Wang, W., Wu, H., Yang, C., Wang, A., ... &amp; Yuan, W. (2019). Osmolarity and calcium regulate connective tissue growth factor (CTGF/CCN2) expression in nucleus pulposus cells. Gene, 704, 15-24.</t>
  </si>
  <si>
    <t xml:space="preserve">NPMT-I051</t>
  </si>
  <si>
    <t xml:space="preserve">Tonks &amp; Cohen, 1983, Biochimica et Biophysica Acta (BBA) - Protein Structure and Molecular Enzymology</t>
  </si>
  <si>
    <t xml:space="preserve">10.1016/0167-4838(83)90140-1</t>
  </si>
  <si>
    <t xml:space="preserve">6309241</t>
  </si>
  <si>
    <t xml:space="preserve">Tonks NK, Cohen P. Calcineurin is a calcium ion-dependent, calmodulin-stimulated protein phosphatase. Biochim Biophys Acta. 1983 Sep 14;747(1-2):191-3. doi: 10.1016/0167-4838(83)90140-1. PMID: 6309241.</t>
  </si>
  <si>
    <t xml:space="preserve">NPMT-I052</t>
  </si>
  <si>
    <t xml:space="preserve">CASP9</t>
  </si>
  <si>
    <t xml:space="preserve">CASP3</t>
  </si>
  <si>
    <t xml:space="preserve">Bao &amp; Shi, 2006, Cell Death Differ</t>
  </si>
  <si>
    <t xml:space="preserve">10.1038/sj.cdd.4402028</t>
  </si>
  <si>
    <t xml:space="preserve">Bao, Q., Shi, Y. Apoptosome: a platform for the activation of initiator caspases. Cell Death Differ 14, 56–65 (2007). https://doi.org/10.1038/sj.cdd.4402028</t>
  </si>
  <si>
    <t xml:space="preserve">NPMT-I053</t>
  </si>
  <si>
    <t xml:space="preserve">MOMP</t>
  </si>
  <si>
    <t xml:space="preserve">Suhaili et al., 2017, Biophys Rev</t>
  </si>
  <si>
    <t xml:space="preserve">10.1007/s12551-017-0308-0</t>
  </si>
  <si>
    <t xml:space="preserve">28823106</t>
  </si>
  <si>
    <t xml:space="preserve">Suhaili SH, Karimian H, Stellato M, Lee TH, Aguilar MI. Mitochondrial outer membrane permeabilization: a focus on the role of mitochondrial membrane structural organization. Biophys Rev. 2017 Aug;9(4):443-457. doi: 10.1007/s12551-017-0308-0. Epub 2017 Aug 19. PMID: 28823106; PMCID: PMC5578938.</t>
  </si>
  <si>
    <t xml:space="preserve">NPMT-I054</t>
  </si>
  <si>
    <t xml:space="preserve">NPMT-I055</t>
  </si>
  <si>
    <t xml:space="preserve">FOXO</t>
  </si>
  <si>
    <t xml:space="preserve">CAT</t>
  </si>
  <si>
    <t xml:space="preserve">Akasaki et al., 2014, Arthritis &amp; Rheumatology</t>
  </si>
  <si>
    <t xml:space="preserve">10.1002/art.38868</t>
  </si>
  <si>
    <t xml:space="preserve">25186470</t>
  </si>
  <si>
    <t xml:space="preserve">Supported in chondrocytes — FOXO1 knockdown reduced catalase protein under oxidative challenge</t>
  </si>
  <si>
    <t xml:space="preserve">Human articular chondrocytes</t>
  </si>
  <si>
    <t xml:space="preserve">Akasaki Y, Alvarez-Garcia O, Saito M, Caramés B, Iwamoto Y, Lotz MK. FoxO transcription factors support oxidative stress resistance in human chondrocytes. Arthritis Rheumatol. 2014;66(12):3349-3358. doi: 10.1002/art.38868. PMID: 25186470.</t>
  </si>
  <si>
    <t xml:space="preserve">NPMT-I056</t>
  </si>
  <si>
    <t xml:space="preserve">Xiang et al., 2022, Exp Mol Med</t>
  </si>
  <si>
    <t xml:space="preserve">10.1038/s12276-022-00829-6</t>
  </si>
  <si>
    <t xml:space="preserve">IVD review</t>
  </si>
  <si>
    <t xml:space="preserve">Xiang, Q., Zhao, Y., Lin, J. et al. The Nrf2 antioxidant defense system in intervertebral disc degeneration: Molecular insights. Exp Mol Med 54, 1067–1075 (2022). https://doi.org/10.1038/s12276-022-00829-6</t>
  </si>
  <si>
    <t xml:space="preserve">NPMT-I057</t>
  </si>
  <si>
    <t xml:space="preserve">CCL2</t>
  </si>
  <si>
    <t xml:space="preserve">Sutcliffe et al., 2009, British J Pharmacology</t>
  </si>
  <si>
    <t xml:space="preserve">10.1111/j.1476-5381.2009.00143.x</t>
  </si>
  <si>
    <t xml:space="preserve">19371341</t>
  </si>
  <si>
    <t xml:space="preserve">Sutcliffe AM, Clarke DL, Bradbury DA, Corbett LM, Patel JA, Knox AJ. Transcriptional regulation of monocyte chemotactic protein-1 release by endothelin-1 in human airway smooth muscle cells involves NF-kappaB and AP-1. Br J Pharmacol. 2009 Jun;157(3):436-50. doi: 10.1111/j.1476-5381.2009.00143.x. Epub 2009 Apr 9. PMID: 19371341; PMCID: PMC2707990.</t>
  </si>
  <si>
    <t xml:space="preserve">NPMT-I058</t>
  </si>
  <si>
    <t xml:space="preserve">Tian et al., 2024, Exp Mol Med</t>
  </si>
  <si>
    <t xml:space="preserve">10.1038/s12276-024-01168-4</t>
  </si>
  <si>
    <t xml:space="preserve">Tian, S., Chen, X., Wu, W. et al. Nucleus pulposus cells regulate macrophages in degenerated intervertebral discs via the integrated stress response-mediated CCL2/7-CCR2 signaling pathway. Exp Mol Med 56, 408–421 (2024). https://doi.org/10.1038/s12276-024-01168-4</t>
  </si>
  <si>
    <t xml:space="preserve">NPMT-I059</t>
  </si>
  <si>
    <t xml:space="preserve">CCN2</t>
  </si>
  <si>
    <t xml:space="preserve">Oh et al., 2016, Sci Rep</t>
  </si>
  <si>
    <t xml:space="preserve">10.1038/srep29916</t>
  </si>
  <si>
    <t xml:space="preserve">NP, chondrocyte</t>
  </si>
  <si>
    <t xml:space="preserve">2D, in vitro, in vivo</t>
  </si>
  <si>
    <t xml:space="preserve">Oh, Cd., Yasuda, H., Zhao, W. et al. SOX9 directly Regulates CTGF/CCN2 Transcription in Growth Plate Chondrocytes and in Nucleus Pulposus Cells of Intervertebral Disc. Sci Rep 6, 29916 (2016). https://doi.org/10.1038/srep29916</t>
  </si>
  <si>
    <t xml:space="preserve">NPMT-I060</t>
  </si>
  <si>
    <t xml:space="preserve">YAP/TAZ</t>
  </si>
  <si>
    <t xml:space="preserve">Gao et al., 2024, Front. Pharmacol.</t>
  </si>
  <si>
    <t xml:space="preserve">10.3389/fphar.2024.1476255</t>
  </si>
  <si>
    <t xml:space="preserve">39600372</t>
  </si>
  <si>
    <t xml:space="preserve">Rat</t>
  </si>
  <si>
    <t xml:space="preserve">Gao Y, Wei H, Peng X, Wang C, Zhu H, Yin J. ER stress-induced YAP upregulation leads to chondrocyte phenotype loss in age-related osteoarthritis. Front Pharmacol. 2024 Nov 12;15:1476255. doi: 10.3389/fphar.2024.1476255. PMID: 39600372; PMCID: PMC11588467.</t>
  </si>
  <si>
    <t xml:space="preserve">NPMT-I061</t>
  </si>
  <si>
    <t xml:space="preserve">β-catenin</t>
  </si>
  <si>
    <t xml:space="preserve">Hiyama et al., 2018, Arthritis Res Ther</t>
  </si>
  <si>
    <t xml:space="preserve">10.1186/s13075-018-1723-8</t>
  </si>
  <si>
    <t xml:space="preserve">Hiyama, A., Morita, K., Sakai, D. et al. CCN family member 2/connective tissue growth factor (CCN2/CTGF) is regulated by Wnt–β-catenin signaling in nucleus pulposus cells. Arthritis Res Ther 20, 217 (2018). https://doi.org/10.1186/s13075-018-1723-8</t>
  </si>
  <si>
    <t xml:space="preserve">NPMT-I062</t>
  </si>
  <si>
    <t xml:space="preserve">FAK-M</t>
  </si>
  <si>
    <t xml:space="preserve">CDC42</t>
  </si>
  <si>
    <t xml:space="preserve">Myers et al., 2012, Journal of Cell Science</t>
  </si>
  <si>
    <t xml:space="preserve">10.1242/jcs.100107</t>
  </si>
  <si>
    <t xml:space="preserve">22393238</t>
  </si>
  <si>
    <t xml:space="preserve">Rho GTPases, cytoskeletal &amp; Hippo regulators</t>
  </si>
  <si>
    <t xml:space="preserve">Myers JP, Robles E, Ducharme-Smith A, Gomez TM. Focal adhesion kinase modulates Cdc42 activity downstream of positive and negative axon guidance cues. J Cell Sci. 2012 Jun 15;125(Pt 12):2918-29. doi: 10.1242/jcs.100107. Epub 2012 Mar 5. PMID: 22393238; PMCID: PMC3434813.</t>
  </si>
  <si>
    <t xml:space="preserve">NPMT-I063</t>
  </si>
  <si>
    <t xml:space="preserve">CITED2</t>
  </si>
  <si>
    <t xml:space="preserve">Agrawal et al., 2008, Arthritis &amp; Rheumatism</t>
  </si>
  <si>
    <t xml:space="preserve">10.1002/art.24073</t>
  </si>
  <si>
    <t xml:space="preserve">19035510</t>
  </si>
  <si>
    <t xml:space="preserve">Agrawal A, Gajghate S, Smith H, Anderson DG, Albert TJ, Shapiro IM, Risbud MV. Cited2 modulates hypoxia-inducible factor-dependent expression of vascular endothelial growth factor in nucleus pulposus cells of the rat intervertebral disc. Arthritis Rheum. 2008 Dec;58(12):3798-808. doi: 10.1002/art.24073. PMID: 19035510.</t>
  </si>
  <si>
    <t xml:space="preserve">NPMT-I064</t>
  </si>
  <si>
    <t xml:space="preserve">COL10A1</t>
  </si>
  <si>
    <t xml:space="preserve">Saito et al., 2010, Nat Med</t>
  </si>
  <si>
    <t xml:space="preserve">10.1038/nm.2146</t>
  </si>
  <si>
    <t xml:space="preserve">20495570</t>
  </si>
  <si>
    <t xml:space="preserve">Saito T, Fukai A, Mabuchi A, Ikeda T, Yano F, Ohba S, Nishida N, Akune T, Yoshimura N, Nakagawa T, Nakamura K, Tokunaga K, Chung UI, Kawaguchi H. Transcriptional regulation of endochondral ossification by HIF-2alpha during skeletal growth and osteoarthritis development. Nat Med. 2010 Jun;16(6):678-86. doi: 10.1038/nm.2146. Epub 2010 May 23. PMID: 20495570.</t>
  </si>
  <si>
    <t xml:space="preserve">NPMT-I065</t>
  </si>
  <si>
    <t xml:space="preserve">Zheng et al., 2003, The Journal of Cell Biology</t>
  </si>
  <si>
    <t xml:space="preserve">10.1083/jcb.200211089</t>
  </si>
  <si>
    <t xml:space="preserve">12952936</t>
  </si>
  <si>
    <t xml:space="preserve">Zheng Q, Zhou G, Morello R, Chen Y, Garcia-Rojas X, Lee B. Type X collagen gene regulation by Runx2 contributes directly to its hypertrophic chondrocyte-specific expression in vivo. J Cell Biol. 2003 Sep 1;162(5):833-42. doi: 10.1083/jcb.200211089. PMID: 12952936; PMCID: PMC2172833.</t>
  </si>
  <si>
    <t xml:space="preserve">NPMT-I066</t>
  </si>
  <si>
    <t xml:space="preserve">Leung et al., 2011, PLoS Genet</t>
  </si>
  <si>
    <t xml:space="preserve">10.1371/journal.pgen.1002356</t>
  </si>
  <si>
    <t xml:space="preserve">22072985</t>
  </si>
  <si>
    <t xml:space="preserve">mice</t>
  </si>
  <si>
    <t xml:space="preserve">Leung VY, Gao B, Leung KK, Melhado IG, Wynn SL, Au TY, Dung NW, Lau JY, Mak AC, Chan D, Cheah KS. SOX9 governs differentiation stage-specific gene expression in growth plate chondrocytes via direct concomitant transactivation and repression. PLoS Genet. 2011 Nov;7(11):e1002356. doi: 10.1371/journal.pgen.1002356. Epub 2011 Nov 3. PMID: 22072985; PMCID: PMC3207907.</t>
  </si>
  <si>
    <t xml:space="preserve">NPMT-I067</t>
  </si>
  <si>
    <t xml:space="preserve">COL1A1</t>
  </si>
  <si>
    <t xml:space="preserve">Hwang et al., 2005, Journal of Biological Chemistry</t>
  </si>
  <si>
    <t xml:space="preserve">10.1074/jbc.m411793200</t>
  </si>
  <si>
    <t xml:space="preserve">15961395</t>
  </si>
  <si>
    <t xml:space="preserve">rabbit</t>
  </si>
  <si>
    <t xml:space="preserve">Hwang SG, Yu SS, Poo H, Chun JS. c-Jun/activator protein-1 mediates interleukin-1beta-induced dedifferentiation but not cyclooxygenase-2 expression in articular chondrocytes. J Biol Chem. 2005 Aug 19;280(33):29780-7. doi: 10.1074/jbc.M411793200. Epub 2005 Jun 16. PMID: 15961395.</t>
  </si>
  <si>
    <t xml:space="preserve">NPMT-I068</t>
  </si>
  <si>
    <t xml:space="preserve">MRTF-A</t>
  </si>
  <si>
    <t xml:space="preserve">Kong et al., 2021, Int J Mol Med</t>
  </si>
  <si>
    <t xml:space="preserve">10.3892/ijmm.2021.4956</t>
  </si>
  <si>
    <t xml:space="preserve">33982787</t>
  </si>
  <si>
    <t xml:space="preserve">Kong M, Zhang Y, Song M, Cong W, Gao C, Zhang J, Han S, Tu Q, Ma X. Myocardin‑related transcription factor A nuclear translocation contributes to mechanical overload‑induced nucleus pulposus fibrosis in rats with intervertebral disc degeneration. Int J Mol Med. 2021 Jul;48(1):123. doi: 10.3892/ijmm.2021.4956. Epub 2021 May 13. PMID: 33982787; PMCID: PMC8121555.</t>
  </si>
  <si>
    <t xml:space="preserve">NPMT-I069</t>
  </si>
  <si>
    <t xml:space="preserve">Devos et al., 2023, IJMS</t>
  </si>
  <si>
    <t xml:space="preserve">10.3390/ijms241210004</t>
  </si>
  <si>
    <t xml:space="preserve">37373151</t>
  </si>
  <si>
    <t xml:space="preserve">Devos H, Zoidakis J, Roubelakis MG, Latosinska A, Vlahou A. Reviewing the Regulators of COL1A1. Int J Mol Sci. 2023 Jun 11;24(12):10004. doi: 10.3390/ijms241210004. PMID: 37373151; PMCID: PMC10298483.</t>
  </si>
  <si>
    <t xml:space="preserve">NPMT-I070</t>
  </si>
  <si>
    <t xml:space="preserve">Xu et al., 2024, J Inflamm</t>
  </si>
  <si>
    <t xml:space="preserve">10.1186/s12950-024-00398-7</t>
  </si>
  <si>
    <t xml:space="preserve">Xu, T., Zhao, H., Fang, X. et al. Mulberroside A mitigates intervertebral disc degeneration by inhibiting MAPK and modulating Ppar-γ/NF-κB pathways. J Inflamm 21, 32 (2024). https://doi.org/10.1186/s12950-024-00398-7</t>
  </si>
  <si>
    <t xml:space="preserve">NPMT-I071</t>
  </si>
  <si>
    <t xml:space="preserve">NPMT-I072</t>
  </si>
  <si>
    <t xml:space="preserve">COL2A1</t>
  </si>
  <si>
    <t xml:space="preserve">Supported in NP — HIF-1α overexpression increased type II collagen</t>
  </si>
  <si>
    <t xml:space="preserve">NPMT-I073</t>
  </si>
  <si>
    <t xml:space="preserve">NPMT-I074</t>
  </si>
  <si>
    <t xml:space="preserve">Tsingas et al., 2020, Matrix Biology</t>
  </si>
  <si>
    <t xml:space="preserve">10.1016/j.matbio.2020.09.003</t>
  </si>
  <si>
    <t xml:space="preserve">33027692</t>
  </si>
  <si>
    <t xml:space="preserve">Ex vivo</t>
  </si>
  <si>
    <t xml:space="preserve">NP tissue</t>
  </si>
  <si>
    <t xml:space="preserve">ex vivo</t>
  </si>
  <si>
    <t xml:space="preserve">Tsingas M, Ottone OK, Haseeb A, Barve RA, Shapiro IM, Lefebvre V, Risbud MV. Sox9 deletion causes severe intervertebral disc degeneration characterized by apoptosis, matrix remodeling, and compartment-specific transcriptomic changes. Matrix Biol. 2020 Dec;94:110-133. doi: 10.1016/j.matbio.2020.09.003. Epub 2020 Oct 4. PMID: 33027692; PMCID: PMC7778523.</t>
  </si>
  <si>
    <t xml:space="preserve">NPMT-I075</t>
  </si>
  <si>
    <t xml:space="preserve">Lin et al., 2019, Gene</t>
  </si>
  <si>
    <t xml:space="preserve">10.1016/j.gene.2019.04.020</t>
  </si>
  <si>
    <t xml:space="preserve">30965128</t>
  </si>
  <si>
    <t xml:space="preserve">Lin W, Shi C, Wang W, Wu H, Yang C, Wang A, Shen X, Tian Y, Cao P, Yuan W. Osmolarity and calcium regulate connective tissue growth factor (CTGF/CCN2) expression in nucleus pulposus cells. Gene. 2019 Jul 1;704:15-24. doi: 10.1016/j.gene.2019.04.020. Epub 2019 Apr 6. PMID: 30965128.</t>
  </si>
  <si>
    <t xml:space="preserve">NPMT-I076</t>
  </si>
  <si>
    <t xml:space="preserve">COX-2</t>
  </si>
  <si>
    <t xml:space="preserve">Li, Jk., Nie, L., Zhao, Yp. et al. IL-17 mediates inflammatory reactions via p38/c-Fos and JNK/c-Jun activation in an AP-1-dependent manner in human nucleus pulposus cells. J Transl Med 14, 77 (2016). https://doi.org/10.1186/s12967-016-0833-9</t>
  </si>
  <si>
    <t xml:space="preserve">NPMT-I077</t>
  </si>
  <si>
    <t xml:space="preserve">Zhao et al., 2023</t>
  </si>
  <si>
    <t xml:space="preserve">Zhao, W., Li, Y., Cheng, X., Wei, H., Li, P., Fan, L., ... &amp; Wang, H. (2023). The antioxidant Glycitin protects against intervertebral disc degeneration through antagonizing inflammation and oxidative stress in nucleus pulposus cells. Aging (Albany NY), 15(23), 13693.</t>
  </si>
  <si>
    <t xml:space="preserve">NPMT-I078</t>
  </si>
  <si>
    <t xml:space="preserve">NFAT</t>
  </si>
  <si>
    <t xml:space="preserve">Horsley &amp; Pavlath, 2002, The Journal of Cell Biology</t>
  </si>
  <si>
    <t xml:space="preserve">10.1083/jcb.200111073</t>
  </si>
  <si>
    <t xml:space="preserve">11877454</t>
  </si>
  <si>
    <t xml:space="preserve">Horsley V, Pavlath GK. NFAT: ubiquitous regulator of cell differentiation and adaptation. J Cell Biol. 2002 Mar 4;156(5):771-4. doi: 10.1083/jcb.200111073. Epub 2002 Mar 4. PMID: 11877454; PMCID: PMC2173310.</t>
  </si>
  <si>
    <t xml:space="preserve">NPMT-I079</t>
  </si>
  <si>
    <t xml:space="preserve">Wheeler et al., 2008, The Journal of Cell Biology</t>
  </si>
  <si>
    <t xml:space="preserve">10.1083/jcb.200805048</t>
  </si>
  <si>
    <t xml:space="preserve">19047462</t>
  </si>
  <si>
    <t xml:space="preserve">Wheeler DG, Barrett CF, Groth RD, Safa P, Tsien RW. CaMKII locally encodes L-type channel activity to signal to nuclear CREB in excitation-transcription coupling. J Cell Biol. 2008 Dec 1;183(5):849-63. doi: 10.1083/jcb.200805048. PMID: 19047462; PMCID: PMC2592819.</t>
  </si>
  <si>
    <t xml:space="preserve">NPMT-I080</t>
  </si>
  <si>
    <t xml:space="preserve">Tsirimonaki et al., 2013, PLoS ONE</t>
  </si>
  <si>
    <t xml:space="preserve">10.1371/journal.pone.0082045</t>
  </si>
  <si>
    <t xml:space="preserve">24312401</t>
  </si>
  <si>
    <t xml:space="preserve">Tsirimonaki E, Fedonidis C, Pneumaticos SG, Tragas AA, Michalopoulos I, Mangoura D. PKCε signalling activation ERK1/2, and regulates aggrecan, ADAMTS5, and miR377 gene expression in human nucleus pulposus cells. PLoS One. 2013 Nov 28;8(11):e82045. doi: 10.1371/journal.pone.0082045. PMID: 24312401; PMCID: PMC3842981.</t>
  </si>
  <si>
    <t xml:space="preserve">NPMT-I081</t>
  </si>
  <si>
    <t xml:space="preserve">ERK-M</t>
  </si>
  <si>
    <t xml:space="preserve">NPMT-I082</t>
  </si>
  <si>
    <t xml:space="preserve">RSK</t>
  </si>
  <si>
    <t xml:space="preserve">Özgen et al., 2009, Molecular Pharmacology</t>
  </si>
  <si>
    <t xml:space="preserve">10.1124/mol.109.056473</t>
  </si>
  <si>
    <t xml:space="preserve">19620255</t>
  </si>
  <si>
    <t xml:space="preserve">Ozgen N, Guo J, Gertsberg Z, Danilo P Jr, Rosen MR, Steinberg SF. Reactive oxygen species decrease cAMP response element binding protein expression in cardiomyocytes via a protein kinase D1-dependent mechanism that does not require Ser133 phosphorylation. Mol Pharmacol. 2009 Oct;76(4):896-902. doi: 10.1124/mol.109.056473. Epub 2009 Jul 20. PMID: 19620255; PMCID: PMC2769048.</t>
  </si>
  <si>
    <t xml:space="preserve">NPMT-I083</t>
  </si>
  <si>
    <t xml:space="preserve">GSK3B</t>
  </si>
  <si>
    <t xml:space="preserve">Grimes &amp; Jope, 2001, Journal of Neurochemistry</t>
  </si>
  <si>
    <t xml:space="preserve">10.1046/j.1471-4159.2001.00495.x</t>
  </si>
  <si>
    <t xml:space="preserve">11579131</t>
  </si>
  <si>
    <t xml:space="preserve">Grimes CA, Jope RS. CREB DNA binding activity is inhibited by glycogen synthase kinase-3 beta and facilitated by lithium. J Neurochem. 2001 Sep;78(6):1219-32. doi: 10.1046/j.1471-4159.2001.00495.x. PMID: 11579131; PMCID: PMC1947002.</t>
  </si>
  <si>
    <t xml:space="preserve">NPMT-I084</t>
  </si>
  <si>
    <t xml:space="preserve">CXCL1</t>
  </si>
  <si>
    <t xml:space="preserve">Qiao et al., 2016, Journal of Biological Chemistry (+1 more)</t>
  </si>
  <si>
    <t xml:space="preserve">10.1074/jbc.m115.702571; 10.1074/jbc.a115.702571</t>
  </si>
  <si>
    <t xml:space="preserve">26792858</t>
  </si>
  <si>
    <t xml:space="preserve">No retraction notice (correction published)</t>
  </si>
  <si>
    <t xml:space="preserve">Qiao Y, He H, Jonsson P, Sinha I, Zhao C, Dahlman-Wright K. AP-1 Is a Key Regulator of Proinflammatory Cytokine TNFα-mediated Triple-negative Breast Cancer Progression. J Biol Chem. 2016 Mar 4;291(10):5068-79. doi: 10.1074/jbc.M115.702571. Epub 2016 Jan 20. Erratum in: J Biol Chem. 2016 Aug 26;291(35):18309. doi: 10.1074/jbc.A115.702571. PMID: 26792858; PMCID: PMC4777842.</t>
  </si>
  <si>
    <t xml:space="preserve">NPMT-I085</t>
  </si>
  <si>
    <t xml:space="preserve">NPMT-I086</t>
  </si>
  <si>
    <t xml:space="preserve">CXCL3</t>
  </si>
  <si>
    <t xml:space="preserve">NPMT-I087</t>
  </si>
  <si>
    <t xml:space="preserve">NPMT-I088</t>
  </si>
  <si>
    <t xml:space="preserve">PLCγ-M</t>
  </si>
  <si>
    <t xml:space="preserve">DAG</t>
  </si>
  <si>
    <t xml:space="preserve">Kim et al., 2000, Exp Mol Med</t>
  </si>
  <si>
    <t xml:space="preserve">10.1038/emm.2000.18</t>
  </si>
  <si>
    <t xml:space="preserve">11048639</t>
  </si>
  <si>
    <t xml:space="preserve">Kim MJ, Kim E, Ryu SH, Suh PG. The mechanism of phospholipase C-gamma1 regulation. Exp Mol Med. 2000 Sep 30;32(3):101-9. doi: 10.1038/emm.2000.18. PMID: 11048639.</t>
  </si>
  <si>
    <t xml:space="preserve">NPMT-I089</t>
  </si>
  <si>
    <t xml:space="preserve">DRP1</t>
  </si>
  <si>
    <t xml:space="preserve">Cereghetti et al., 2008, Proc. Natl. Acad. Sci. U.S.A.</t>
  </si>
  <si>
    <t xml:space="preserve">10.1073/pnas.0808249105</t>
  </si>
  <si>
    <t xml:space="preserve">18838687</t>
  </si>
  <si>
    <t xml:space="preserve">Cereghetti GM, Stangherlin A, Martins de Brito O, Chang CR, Blackstone C, Bernardi P, Scorrano L. Dephosphorylation by calcineurin regulates translocation of Drp1 to mitochondria. Proc Natl Acad Sci U S A. 2008 Oct 14;105(41):15803-8. doi: 10.1073/pnas.0808249105. Epub 2008 Oct 6. PMID: 18838687; PMCID: PMC2572940.</t>
  </si>
  <si>
    <t xml:space="preserve">NPMT-I090</t>
  </si>
  <si>
    <t xml:space="preserve">Su et al., 2025, Journal of Orthopaedic Translation</t>
  </si>
  <si>
    <t xml:space="preserve">10.1016/j.jot.2025.01.013</t>
  </si>
  <si>
    <t xml:space="preserve">40160807</t>
  </si>
  <si>
    <t xml:space="preserve">indirect / pathway-level — Indirect NP evidence: oxidative stress (TBHP) was associated with ERK1/2-dependent Drp1 activation; ROS itself was not established as the direct activator.</t>
  </si>
  <si>
    <t xml:space="preserve">Human/rat NP cells; oxidative-stress model</t>
  </si>
  <si>
    <t xml:space="preserve">In vitro / in vivo</t>
  </si>
  <si>
    <t xml:space="preserve">Su S, Wu X, Li B, et al. Inhibition of ERK1/2 mediated activation of Drp1 alleviates intervertebral disc degeneration via suppressing pyroptosis and apoptosis in nucleus pulposus cells. J Orthop Translat. 2025;51:163-175. doi: 10.1016/j.jot.2025.01.013. PMID: 40160807.</t>
  </si>
  <si>
    <t xml:space="preserve">NPMT-I091</t>
  </si>
  <si>
    <t xml:space="preserve">ELK1</t>
  </si>
  <si>
    <t xml:space="preserve">Tsai et al., 2007, Journal of Bone and Mineral Research</t>
  </si>
  <si>
    <t xml:space="preserve">10.1359/jbmr.070322</t>
  </si>
  <si>
    <t xml:space="preserve">17371162</t>
  </si>
  <si>
    <t xml:space="preserve">Tsai 2007 (marker: TonEBP)</t>
  </si>
  <si>
    <t xml:space="preserve">Tsai TT, Guttapalli A, Agrawal A, Albert TJ, Shapiro IM, Risbud MV. MEK/ERK signaling controls osmoregulation of nucleus pulposus cells of the intervertebral disc by transactivation of TonEBP/OREBP. J Bone Miner Res. 2007 Jul;22(7):965-74. doi: 10.1359/jbmr.070322. PMID: 17371162.</t>
  </si>
  <si>
    <t xml:space="preserve">NPMT-I092</t>
  </si>
  <si>
    <t xml:space="preserve">MAP3K</t>
  </si>
  <si>
    <t xml:space="preserve">Cruzalegui et al., 1999, Oncogene</t>
  </si>
  <si>
    <t xml:space="preserve">10.1038/sj.onc.1203362</t>
  </si>
  <si>
    <t xml:space="preserve">10637505</t>
  </si>
  <si>
    <t xml:space="preserve">indirect / pathway-level — Pathway-level only: MAP3K activates downstream MAPK signalling which phosphorylates ELK1. Direct MAP3K-to-ELK1 action not shown.</t>
  </si>
  <si>
    <t xml:space="preserve">Other mammalian cells</t>
  </si>
  <si>
    <t xml:space="preserve">Cultured cells; ERK-to-ELK1 signalling</t>
  </si>
  <si>
    <t xml:space="preserve">Cruzalegui FH, Cano E, Treisman R. ERK activation induces phosphorylation of Elk-1 at multiple S/T-P motifs to high stoichiometry. Oncogene. 1999;18:7948-7957. doi: 10.1038/sj.onc.1203362. PMID: 10637505.</t>
  </si>
  <si>
    <t xml:space="preserve">NPMT-I093</t>
  </si>
  <si>
    <t xml:space="preserve">MEK-E</t>
  </si>
  <si>
    <t xml:space="preserve">Risbud et al., 2005, Spine</t>
  </si>
  <si>
    <t xml:space="preserve">10.1097/01.brs.0000159096.11248.6d</t>
  </si>
  <si>
    <t xml:space="preserve">15834331</t>
  </si>
  <si>
    <t xml:space="preserve">Risbud MV, Fertala J, Vresilovic EJ, Albert TJ, Shapiro IM. Nucleus pulposus cells upregulate PI3K/Akt and MEK/ERK signaling pathways under hypoxic conditions and resist apoptosis induced by serum withdrawal. Spine (Phila Pa 1976). 2005 Apr 15;30(8):882-9. doi: 10.1097/01.brs.0000159096.11248.6d. PMID: 15834331.</t>
  </si>
  <si>
    <t xml:space="preserve">NPMT-I094</t>
  </si>
  <si>
    <t xml:space="preserve">MEK-M</t>
  </si>
  <si>
    <t xml:space="preserve">NPMT-I095</t>
  </si>
  <si>
    <t xml:space="preserve">SDC4-E</t>
  </si>
  <si>
    <t xml:space="preserve">FAK-E</t>
  </si>
  <si>
    <t xml:space="preserve">Wilcox-Adelman et al., 2002, Journal of Biological Chemistry</t>
  </si>
  <si>
    <t xml:space="preserve">10.1074/jbc.m201283200</t>
  </si>
  <si>
    <t xml:space="preserve">12087088</t>
  </si>
  <si>
    <t xml:space="preserve">Wilcox-Adelman SA, Denhez F, Goetinck PF. Syndecan-4 modulates focal adhesion kinase phosphorylation. J Biol Chem. 2002 Sep 6;277(36):32970-7. doi: 10.1074/jbc.M201283200. Epub 2002 Jun 26. PMID: 12087088.</t>
  </si>
  <si>
    <t xml:space="preserve">NPMT-I096</t>
  </si>
  <si>
    <t xml:space="preserve">α5β1-Fs</t>
  </si>
  <si>
    <t xml:space="preserve">Missirlis et al., 2016, Sci Rep</t>
  </si>
  <si>
    <t xml:space="preserve">10.1038/srep23258</t>
  </si>
  <si>
    <t xml:space="preserve">Missirlis, D., Haraszti, T., Scheele, C. et al. Substrate engagement of integrins α5β1 and αvβ3 is necessary, but not sufficient, for high directional persistence in migration on fibronectin. Sci Rep 6, 23258 (2016). https://doi.org/10.1038/srep23258</t>
  </si>
  <si>
    <t xml:space="preserve">NPMT-I097</t>
  </si>
  <si>
    <t xml:space="preserve">αVβ3</t>
  </si>
  <si>
    <t xml:space="preserve">Song et al., 2022, Inflammation</t>
  </si>
  <si>
    <t xml:space="preserve">10.1007/s10753-022-01770-6</t>
  </si>
  <si>
    <t xml:space="preserve">36480128</t>
  </si>
  <si>
    <t xml:space="preserve">OA review</t>
  </si>
  <si>
    <t xml:space="preserve">Song F, Mao X, Dai J, Shan B, Zhou Z, Kang Y. Integrin αVβ3 Signaling in the Progression of Osteoarthritis Induced by Excessive Mechanical Stress. Inflammation. 2023 Apr;46(2):739-751. doi: 10.1007/s10753-022-01770-6. Epub 2022 Dec 8. PMID: 36480128; PMCID: PMC10024670.</t>
  </si>
  <si>
    <t xml:space="preserve">NPMT-I098</t>
  </si>
  <si>
    <t xml:space="preserve">SDC4-M</t>
  </si>
  <si>
    <t xml:space="preserve">NPMT-I099</t>
  </si>
  <si>
    <t xml:space="preserve">α5β1-FN</t>
  </si>
  <si>
    <t xml:space="preserve">NPMT-I100</t>
  </si>
  <si>
    <t xml:space="preserve">αVβ6</t>
  </si>
  <si>
    <t xml:space="preserve">Lee et al., 2014</t>
  </si>
  <si>
    <t xml:space="preserve">24510996</t>
  </si>
  <si>
    <t xml:space="preserve">Lee C, Lee C, Lee S, Siu A, Ramos DM. The cytoplasmic extension of the integrin β6 subunit regulates epithelial-to-mesenchymal transition. Anticancer Res. 2014 Feb;34(2):659-64. PMID: 24510996.</t>
  </si>
  <si>
    <t xml:space="preserve">NPMT-I101</t>
  </si>
  <si>
    <t xml:space="preserve">FGF18</t>
  </si>
  <si>
    <t xml:space="preserve">Hinoi et al., 2006, Genes Dev.</t>
  </si>
  <si>
    <t xml:space="preserve">10.1101/gad.1482906</t>
  </si>
  <si>
    <t xml:space="preserve">17050674</t>
  </si>
  <si>
    <t xml:space="preserve">osteosarcoma</t>
  </si>
  <si>
    <t xml:space="preserve">Hinoi E, Bialek P, Chen YT, Rached MT, Groner Y, Behringer RR, Ornitz DM, Karsenty G. Runx2 inhibition chondrocyte proliferation and hypertrophy through its expression in the perichondrium. Genes Dev. 2006 Nov 1;20(21):2937-42. doi: 10.1101/gad.1482906. Epub 2006 Oct 18. PMID: 17050674; PMCID: PMC1620024.</t>
  </si>
  <si>
    <t xml:space="preserve">NPMT-I102</t>
  </si>
  <si>
    <t xml:space="preserve">Elluru et al., 2009, The Laryngoscope</t>
  </si>
  <si>
    <t xml:space="preserve">10.1002/lary.20157</t>
  </si>
  <si>
    <t xml:space="preserve">19358209</t>
  </si>
  <si>
    <t xml:space="preserve">Elluru RG, Thompson F, Reece A. Fibroblast growth factor 18 gives growth and directional cues to airway cartilage. Laryngoscope. 2009 Jun;119(6):1153-65. doi: 10.1002/lary.20157. PMID: 19358209; PMCID: PMC2693282.</t>
  </si>
  <si>
    <t xml:space="preserve">NPMT-I103</t>
  </si>
  <si>
    <t xml:space="preserve">Reinhold &amp; Naski, 2007, Journal of Biological Chemistry</t>
  </si>
  <si>
    <t xml:space="preserve">10.1074/jbc.m608995200</t>
  </si>
  <si>
    <t xml:space="preserve">17158875</t>
  </si>
  <si>
    <t xml:space="preserve">Reinhold MI, Naski MC. Direct interactions of Runx2 and canonical Wnt signaling induce FGF18. J Biol Chem. 2007 Feb 9;282(6):3653-63. doi: 10.1074/jbc.M608995200. Epub 2006 Dec 11. PMID: 17158875.</t>
  </si>
  <si>
    <t xml:space="preserve">NPMT-I104</t>
  </si>
  <si>
    <t xml:space="preserve">Jiang et al., 2021</t>
  </si>
  <si>
    <t xml:space="preserve">34539990</t>
  </si>
  <si>
    <t xml:space="preserve">Jiang P, Dou X, Li S, Jia Q, Ling P, Liu H, Han Q, Sun S. miR-590-5p affects chondrocyte proliferation, apoptosis, and inflammation by targeting FGF18 in osteoarthritis. Am J Transl Res. 2021 Aug 15;13(8):8728-8741. PMID: 34539990; PMCID: PMC8430182.</t>
  </si>
  <si>
    <t xml:space="preserve">NPMT-I105</t>
  </si>
  <si>
    <t xml:space="preserve">FGF2</t>
  </si>
  <si>
    <t xml:space="preserve">Galoforo et al., 1996, Mol Cell Biochem</t>
  </si>
  <si>
    <t xml:space="preserve">10.1007/bf00229313</t>
  </si>
  <si>
    <t xml:space="preserve">Galoforo, S.S., Berns, C.M., Erdos, G. et al. Hypoglycemia-induced AP-1 transcription factor and basic fibroblast growth factor gene expression in multidrug resistant human breast carcinoma MCF-7/ADR cells. Mol Cell Biochem 155, 163–171 (1996). https://doi.org/10.1007/BF00229313</t>
  </si>
  <si>
    <t xml:space="preserve">NPMT-I106</t>
  </si>
  <si>
    <t xml:space="preserve">Calvani et al., 2006, Blood</t>
  </si>
  <si>
    <t xml:space="preserve">10.1182/blood-2005-09-3541</t>
  </si>
  <si>
    <t xml:space="preserve">16304044</t>
  </si>
  <si>
    <t xml:space="preserve">endothelial</t>
  </si>
  <si>
    <t xml:space="preserve">Calvani M, Rapisarda A, Uranchimeg B, Shoemaker RH, Melillo G. Hypoxic induction of an HIF-1alpha-dependent bFGF autocrine loop drives angiogenesis in human endothelial cells. Blood. 2006 Apr 1;107(7):2705-12. doi: 10.1182/blood-2005-09-3541. Epub 2005 Nov 22. PMID: 16304044; PMCID: PMC1895390.</t>
  </si>
  <si>
    <t xml:space="preserve">NPMT-I107</t>
  </si>
  <si>
    <t xml:space="preserve">Chien et al., 2016, Clinical Science</t>
  </si>
  <si>
    <t xml:space="preserve">10.1042/cs20150622</t>
  </si>
  <si>
    <t xml:space="preserve">26811540</t>
  </si>
  <si>
    <t xml:space="preserve">Chien SY, Huang CY, Tsai CH, Wang SW, Lin YM, Tang CH. Interleukin-1β induces fibroblast growth factor 2 expression and subsequently promotes endothelial progenitor cell angiogenesis in chondrocytes. Clin Sci (Lond). 2016 May;130(9):667-81. doi: 10.1042/CS20150622. Epub 2016 Jan 25. PMID: 26811540; PMCID: PMC4797417.</t>
  </si>
  <si>
    <t xml:space="preserve">NPMT-I108</t>
  </si>
  <si>
    <t xml:space="preserve">Liu et al., 2019, International Immunopharmacology</t>
  </si>
  <si>
    <t xml:space="preserve">10.1016/j.intimp.2019.04.012</t>
  </si>
  <si>
    <t xml:space="preserve">30981079</t>
  </si>
  <si>
    <t xml:space="preserve">Liu Y, Qu Y, Liu L, Zhao H, Ma H, Si M, Cheng L, Nie L. PPAR-γ agonist pioglitazone protects against IL-17 induced intervertebral disc inflammation and degeneration via suppression of NF-κB signaling pathway. Int Immunopharmacol. 2019 Jul;72:138-147. doi: 10.1016/j.intimp.2019.04.012. Epub 2019 Apr 10. PMID: 30981079.</t>
  </si>
  <si>
    <t xml:space="preserve">NPMT-I109</t>
  </si>
  <si>
    <t xml:space="preserve">Zhao et al., 2014, Arthritis &amp; Rheumatology</t>
  </si>
  <si>
    <t xml:space="preserve">10.1002/art.38791</t>
  </si>
  <si>
    <t xml:space="preserve">25047750</t>
  </si>
  <si>
    <t xml:space="preserve">Zhao X, Petursson F, Viollet B, Lotz M, Terkeltaub R, Liu-Bryan R. Peroxisome proliferator-activated receptor γ coactivator 1α and FoxO3A mediate chondroprotection by AMP-activated protein kinase. Arthritis Rheumatol. 2014 Nov;66(11):3073-82. doi: 10.1002/art.38791. PMID: 25047750; PMCID: PMC4343036.</t>
  </si>
  <si>
    <t xml:space="preserve">NPMT-I110</t>
  </si>
  <si>
    <t xml:space="preserve">Kawamori et al., 2006, Journal of Biological Chemistry</t>
  </si>
  <si>
    <t xml:space="preserve">10.1074/jbc.m508510200</t>
  </si>
  <si>
    <t xml:space="preserve">16282329</t>
  </si>
  <si>
    <t xml:space="preserve">Kawamori D, Kaneto H, Nakatani Y, Matsuoka TA, Matsuhisa M, Hori M, Yamasaki Y. The forkhead transcription factor Foxo1 bridges the JNK pathway and the transcription factor PDX-1 through its intracellular translocation. J Biol Chem. 2006 Jan 13;281(2):1091-8. doi: 10.1074/jbc.M508510200. Epub 2005 Nov 9. PMID: 16282329.</t>
  </si>
  <si>
    <t xml:space="preserve">NPMT-I111</t>
  </si>
  <si>
    <t xml:space="preserve">MST1/2</t>
  </si>
  <si>
    <t xml:space="preserve">Lehtinen et al., 2006, Cell</t>
  </si>
  <si>
    <t xml:space="preserve">10.1016/j.cell.2006.03.046</t>
  </si>
  <si>
    <t xml:space="preserve">16751106</t>
  </si>
  <si>
    <t xml:space="preserve">Lehtinen MK, Yuan Z, Boag PR, Yang Y, Villén J, Becker EB, DiBacco S, de la Iglesia N, Gygi S, Blackwell TK, Bonni A. A conserved MST-FOXO signaling pathway mediates oxidative-stress responses and extends life span. Cell. 2006 Jun 2;125(5):987-1001. doi: 10.1016/j.cell.2006.03.046. PMID: 16751106.</t>
  </si>
  <si>
    <t xml:space="preserve">NPMT-I112</t>
  </si>
  <si>
    <t xml:space="preserve">Ho et al., 2012, Journal of Biological Chemistry</t>
  </si>
  <si>
    <t xml:space="preserve">10.1074/jbc.m111.284224</t>
  </si>
  <si>
    <t xml:space="preserve">22128155</t>
  </si>
  <si>
    <t xml:space="preserve">Ho KK, McGuire VA, Koo CY, Muir KW, de Olano N, Maifoshie E, Kelly DJ, McGovern UB, Monteiro LJ, Gomes AR, Nebreda AR, Campbell DG, Arthur JS, Lam EW. Phosphorylation of FOXO3a on Ser-7 by p38 promotes its nuclear localization in response to doxorubicin. J Biol Chem. 2012 Jan 6;287(2):1545-55. doi: 10.1074/jbc.M111.284224. Epub 2011 Nov 29. PMID: 22128155; PMCID: PMC3256863.</t>
  </si>
  <si>
    <t xml:space="preserve">NPMT-I113</t>
  </si>
  <si>
    <t xml:space="preserve">Akasaki et al., 2014</t>
  </si>
  <si>
    <t xml:space="preserve">Akasaki, Y., Hasegawa, A., Saito, M., Asahara, H., Iwamoto, Y., &amp; Lotz, M. K. (2014). Dysregulated FOXO transcription factors in articular cartilage in aging and osteoarthritis. Osteoarthritis and cartilage, 22(1), 162-170.</t>
  </si>
  <si>
    <t xml:space="preserve">NPMT-I114</t>
  </si>
  <si>
    <t xml:space="preserve">Yang et al., 2008, Nat Cell Biol</t>
  </si>
  <si>
    <t xml:space="preserve">10.1038/ncb1676</t>
  </si>
  <si>
    <t xml:space="preserve">18204439</t>
  </si>
  <si>
    <t xml:space="preserve">Yang JY, Zong CS, Xia W, Yamaguchi H, Ding Q, Xie X, Lang JY, Lai CC, Chang CJ, Huang WC, Huang H, Kuo HP, Lee DF, Li LY, Lien HC, Cheng X, Chang KJ, Hsiao CD, Tsai FJ, Tsai CH, Sahin AA, Muller WJ, Mills GB, Yu D, Hortobagyi GN, Hung MC. ERK promotes tumorigenesis by inhibiting FOXO3a via MDM2-mediated degradation. Nat Cell Biol. 2008 Feb;10(2):138-48. doi: 10.1038/ncb1676. Epub 2008 Jan 20. Erratum in: Nat Cell Biol. 2008 Mar;10(3):370. PMID: 18204439; PMCID: PMC2376808.</t>
  </si>
  <si>
    <t xml:space="preserve">NPMT-I115</t>
  </si>
  <si>
    <t xml:space="preserve">GADD45</t>
  </si>
  <si>
    <t xml:space="preserve">Tran et al., 2002, Science</t>
  </si>
  <si>
    <t xml:space="preserve">10.1126/science.1068712</t>
  </si>
  <si>
    <t xml:space="preserve">11964479</t>
  </si>
  <si>
    <t xml:space="preserve">Tran H, Brunet A, Grenier JM, Datta SR, Fornace AJ Jr, DiStefano PS, Chiang LW, Greenberg ME. DNA repair pathway stimulated by the forkhead transcription factor FOXO3a through the Gadd45 protein. Science. 2002 Apr 19;296(5567):530-4. doi: 10.1126/science.1068712. PMID: 11964479.</t>
  </si>
  <si>
    <t xml:space="preserve">NPMT-I116</t>
  </si>
  <si>
    <t xml:space="preserve">Ijiri et al., 2008, Arthritis &amp; Rheumatism</t>
  </si>
  <si>
    <t xml:space="preserve">10.1002/art.23504</t>
  </si>
  <si>
    <t xml:space="preserve">18576389</t>
  </si>
  <si>
    <t xml:space="preserve">Ijiri K, Zerbini LF, Peng H, Otu HH, Tsuchimochi K, Otero M, Dragomir C, Walsh N, Bierbaum BE, Mattingly D, van Flandern G, Komiya S, Aigner T, Libermann TA, Goldring MB. Differential expression of GADD45beta in normal and osteoarthritic cartilage: potential role in homeostasis of articular chondrocytes. Arthritis Rheum. 2008 Jul;58(7):2075-87. doi: 10.1002/art.23504. PMID: 18576389; PMCID: PMC3950332.</t>
  </si>
  <si>
    <t xml:space="preserve">NPMT-I117</t>
  </si>
  <si>
    <t xml:space="preserve">SOX5</t>
  </si>
  <si>
    <t xml:space="preserve">GDF5</t>
  </si>
  <si>
    <t xml:space="preserve">Dy et al., 2010, Developmental Biology</t>
  </si>
  <si>
    <t xml:space="preserve">10.1016/j.ydbio.2010.02.024</t>
  </si>
  <si>
    <t xml:space="preserve">20206616</t>
  </si>
  <si>
    <t xml:space="preserve">Dy P, Smits P, Silvester A, Penzo-Méndez A, Dumitriu B, Han Y, de la Motte CA, Kingsley DM, Lefebvre V. Synovial joint morphogenesis requires the chondrogenic action of Sox5 and Sox6 in growth plate and articular cartilage. Dev Biol. 2010 May 15;341(2):346-59. doi: 10.1016/j.ydbio.2010.02.024. Epub 2010 Mar 4. PMID: 20206616; PMCID: PMC2862098.</t>
  </si>
  <si>
    <t xml:space="preserve">NPMT-I118</t>
  </si>
  <si>
    <t xml:space="preserve">SOX6</t>
  </si>
  <si>
    <t xml:space="preserve">NPMT-I119</t>
  </si>
  <si>
    <t xml:space="preserve">Guo et al., 2004, Genes Dev.</t>
  </si>
  <si>
    <t xml:space="preserve">10.1101/gad.1230704</t>
  </si>
  <si>
    <t xml:space="preserve">15371327</t>
  </si>
  <si>
    <t xml:space="preserve">Guo X, Day TF, Jiang X, Garrett-Beal L, Topol L, Yang Y. Wnt/beta-catenin signaling is sufficient and necessary for synovial joint formation. Genes Dev. 2004 Oct 1;18(19):2404-17. doi: 10.1101/gad.1230704. Epub 2004 Sep 15. PMID: 15371327; PMCID: PMC522990.</t>
  </si>
  <si>
    <t xml:space="preserve">NPMT-I120</t>
  </si>
  <si>
    <t xml:space="preserve">Weng et al., 2021, IJMS</t>
  </si>
  <si>
    <t xml:space="preserve">10.3390/ijms222011082</t>
  </si>
  <si>
    <t xml:space="preserve">34681754</t>
  </si>
  <si>
    <t xml:space="preserve">Weng PW, Yadav VK, Pikatan NW, Fong IH, Lin IH, Yeh CT, Lee WH. Novel NFκB Inhibitor SC75741 Mitigates Chondrocyte Degradation and Prevents Activated Fibroblast Transformation by Modulating miR-21/GDF-5/SOX5 Signaling. Int J Mol Sci. 2021 Oct 14;22(20):11082. doi: 10.3390/ijms222011082. PMID: 34681754; PMCID: PMC8538686.</t>
  </si>
  <si>
    <t xml:space="preserve">NPMT-I121</t>
  </si>
  <si>
    <t xml:space="preserve">GPX1</t>
  </si>
  <si>
    <t xml:space="preserve">Akasaki Y, Alvarez-Garcia O, Saito M, Caramés B, Iwamoto Y, Lotz MK. FoxO transcription factors support oxidative stress resistance in human chondrocytes. Arthritis Rheumatol. 2014 Dec;66(12):3349-58. doi: 10.1002/art.38868. PMID: 25186470; PMCID: PMC4254812.</t>
  </si>
  <si>
    <t xml:space="preserve">NPMT-I122</t>
  </si>
  <si>
    <t xml:space="preserve">NPMT-I123</t>
  </si>
  <si>
    <t xml:space="preserve">Ciotti et al., 2020, Cell Death Dis</t>
  </si>
  <si>
    <t xml:space="preserve">10.1038/s41419-019-2202-0</t>
  </si>
  <si>
    <t xml:space="preserve">Ciotti, S., Iuliano, L., Cefalù, S. et al. GSK3β is a key regulator of the ROS-dependent necrotic death induced by the quinone DMNQ. Cell Death Dis 11, 2 (2020). https://doi.org/10.1038/s41419-019-2202-0</t>
  </si>
  <si>
    <t xml:space="preserve">NPMT-I124</t>
  </si>
  <si>
    <t xml:space="preserve">Litherland et al., 2014</t>
  </si>
  <si>
    <t xml:space="preserve">human/bovine</t>
  </si>
  <si>
    <t xml:space="preserve">Litherland, G. J., Hui, W., Elias, M. S., Wilkinson, D. J., Watson, S., Huesa, C., ... &amp; Rowan, A. D. (2014). Glycogen synthase kinase 3 inhibition stimulates human cartilage destruction and exacerbates murine osteoarthritis. Arthritis &amp; Rheumatology, 66(8), 2175-2187.</t>
  </si>
  <si>
    <t xml:space="preserve">NPMT-I125</t>
  </si>
  <si>
    <t xml:space="preserve">Gelse et al., 2008, Osteoarthritis and Cartilage</t>
  </si>
  <si>
    <t xml:space="preserve">10.1016/j.joca.2008.04.006</t>
  </si>
  <si>
    <t xml:space="preserve">18524637</t>
  </si>
  <si>
    <t xml:space="preserve">Gelse K, Mühle C, Knaup K, Swoboda B, Wiesener M, Hennig F, Olk A, Schneider H. Chondrogenic differentiation of growth factor-stimulated precursor cells in cartilage repair tissue is associated with increased HIF-1alpha activity. Osteoarthritis Cartilage. 2008 Dec;16(12):1457-65. doi: 10.1016/j.joca.2008.04.006. Epub 2008 Jun 3. PMID: 18524637.</t>
  </si>
  <si>
    <t xml:space="preserve">NPMT-I126</t>
  </si>
  <si>
    <t xml:space="preserve">Zhang et al., 2012, Journal of Biological Chemistry</t>
  </si>
  <si>
    <t xml:space="preserve">10.1074/jbc.m112.365882</t>
  </si>
  <si>
    <t xml:space="preserve">22910906</t>
  </si>
  <si>
    <t xml:space="preserve">Zhang D, Li J, Zhang M, Gao G, Zuo Z, Yu Y, Zhu L, Gao J, Huang C. The requirement of c-Jun N-terminal kinase 2 in regulation of hypoxia-inducing factor-1α mRNA stability. J Biol Chem. 2012 Oct 5;287(41):34361-71. doi: 10.1074/jbc.M112.365882. Epub 2012 Aug 21. PMID: 22910906; PMCID: PMC3464542.</t>
  </si>
  <si>
    <t xml:space="preserve">NPMT-I127</t>
  </si>
  <si>
    <t xml:space="preserve">Dodd et al., 2014, Oncogene</t>
  </si>
  <si>
    <t xml:space="preserve">10.1038/onc.2014.164</t>
  </si>
  <si>
    <t xml:space="preserve">24931163</t>
  </si>
  <si>
    <t xml:space="preserve">Dodd KM, Yang J, Shen MH, Sampson JR, Tee AR. mTORC1 drives HIF-1α and VEGF-A signalling via multiple mechanisms involving 4E-BP1, S6K1 and STAT3. Oncogene. 2015 Apr 23;34(17):2239-50. doi: 10.1038/onc.2014.164. Epub 2014 Jun 16. PMID: 24931163; PMCID: PMC4172452.</t>
  </si>
  <si>
    <t xml:space="preserve">NPMT-I128</t>
  </si>
  <si>
    <t xml:space="preserve">Yudoh et al., 2005, Arthritis Res Ther</t>
  </si>
  <si>
    <t xml:space="preserve">10.1186/ar1765</t>
  </si>
  <si>
    <t xml:space="preserve">15987493</t>
  </si>
  <si>
    <t xml:space="preserve">Supported in chondrocytes — p38 inhibition reduces stress-induced HIF-1α expression</t>
  </si>
  <si>
    <t xml:space="preserve">Human OA articular chondrocytes</t>
  </si>
  <si>
    <t xml:space="preserve">Yudoh K, Nakamura H, Masuko-Hongo K, Kato T, Nishioka K. Catabolic stress induces expression of hypoxia-inducible factor (HIF)-1 alpha in articular chondrocytes: involvement of HIF-1 alpha in the pathogenesis of osteoarthritis. Arthritis Res Ther. 2005;7(4):R904-R914. doi: 10.1186/ar1765. PMID: 15987493.</t>
  </si>
  <si>
    <t xml:space="preserve">NPMT-I129</t>
  </si>
  <si>
    <t xml:space="preserve">Flügel et al., 2007, Molecular and Cellular Biology</t>
  </si>
  <si>
    <t xml:space="preserve">10.1128/mcb.00015-07</t>
  </si>
  <si>
    <t xml:space="preserve">17325032</t>
  </si>
  <si>
    <t xml:space="preserve">Flügel D, Görlach A, Michiels C, Kietzmann T. Glycogen synthase kinase 3 phosphorylates hypoxia-inducible factor 1alpha and mediates its destabilization in a VHL-independent manner. Mol Cell Biol. 2007 May;27(9):3253-65. doi: 10.1128/MCB.00015-07. Epub 2007 Feb 26. PMID: 17325032; PMCID: PMC1899978.</t>
  </si>
  <si>
    <t xml:space="preserve">NPMT-I130</t>
  </si>
  <si>
    <t xml:space="preserve">Wang et al., 2021, Ann Transl Med</t>
  </si>
  <si>
    <t xml:space="preserve">10.21037/atm-21-2701</t>
  </si>
  <si>
    <t xml:space="preserve">34350255</t>
  </si>
  <si>
    <t xml:space="preserve">Mice</t>
  </si>
  <si>
    <t xml:space="preserve">Wang P, Ye Y, Yuan W, Tan Y, Zhang S, Meng Q. Curcumin exerts a protective effect on murine knee chondrocytes treated with IL-1β through blocking the NF-κB/HIF-2α signaling pathway. Ann Transl Med. 2021 Jun;9(11):940. doi: 10.21037/atm-21-2701. PMID: 34350255; PMCID: PMC8263872.</t>
  </si>
  <si>
    <t xml:space="preserve">NPMT-I131</t>
  </si>
  <si>
    <t xml:space="preserve">Riegger et al., 2023, Cell Mol Biol Lett</t>
  </si>
  <si>
    <t xml:space="preserve">10.1186/s11658-023-00489-y</t>
  </si>
  <si>
    <t xml:space="preserve">37777764</t>
  </si>
  <si>
    <t xml:space="preserve">Riegger J, Schoppa A, Ruths L, Haffner-Luntzer M, Ignatius A. Oxidative stress as a key modulator of cell fate decision in osteoarthritis and osteoporosis: a narrative review. Cell Mol Biol Lett. 2023 Sep 30;28(1):76. doi: 10.1186/s11658-023-00489-y. PMID: 37777764; PMCID: PMC10541721.</t>
  </si>
  <si>
    <t xml:space="preserve">NPMT-I132</t>
  </si>
  <si>
    <t xml:space="preserve">VHL</t>
  </si>
  <si>
    <t xml:space="preserve">Weng et al., 2014, Osteoarthritis and Cartilage</t>
  </si>
  <si>
    <t xml:space="preserve">10.1016/j.joca.2014.06.031</t>
  </si>
  <si>
    <t xml:space="preserve">Supported in chondrocytes — Vhl deletion increases HIF-2α protein</t>
  </si>
  <si>
    <t xml:space="preserve">Mouse articular chondrocytes</t>
  </si>
  <si>
    <t xml:space="preserve">In vivo and in vitro</t>
  </si>
  <si>
    <t xml:space="preserve">Weng T, Xie Y, Yi L, Huang J, Luo F, Du X, Chen L, Liu C, Chen D, Chen L. Loss of Vhl in cartilage accelerated the progression of age-associated and surgically induced murine osteoarthritis. Osteoarthritis Cartilage. 2014;22(8):1197-1205. doi: 10.1016/j.joca.2014.06.031. PMCID: PMC4150692.</t>
  </si>
  <si>
    <t xml:space="preserve">NPMT-I133</t>
  </si>
  <si>
    <t xml:space="preserve">HO-1</t>
  </si>
  <si>
    <t xml:space="preserve">Lee et al., 1997</t>
  </si>
  <si>
    <t xml:space="preserve">9038135</t>
  </si>
  <si>
    <t xml:space="preserve">Lee PJ, Jiang BH, Chin BY, Iyer NV, Alam J, Semenza GL, Choi AM. Hypoxia-inducible factor-1 mediates transcriptional activation of the heme oxygenase-1 gene in response to hypoxia. J Biol Chem. 1997 Feb 28;272(9):5375-81. PMID: 9038135.</t>
  </si>
  <si>
    <t xml:space="preserve">NPMT-I134</t>
  </si>
  <si>
    <t xml:space="preserve">Zhang et al., 2023, Journal of Orthopaedic Translation</t>
  </si>
  <si>
    <t xml:space="preserve">10.1016/j.jot.2023.03.002</t>
  </si>
  <si>
    <t xml:space="preserve">37197096</t>
  </si>
  <si>
    <t xml:space="preserve">Zhang P, Jin Y, Xia W, Wang X, Zhou Z. Phillygenin inhibition inflammation in chondrocytes via the Nrf2/NF-κB axis and ameliorates osteoarthritis in mice. J Orthop Translat. 2023 May 4;41:1-11. doi: 10.1016/j.jot.2023.03.002. PMID: 37197096; PMCID: PMC10184049.</t>
  </si>
  <si>
    <t xml:space="preserve">NPMT-I135</t>
  </si>
  <si>
    <t xml:space="preserve">HSF1</t>
  </si>
  <si>
    <t xml:space="preserve">Chou et al., 2012, PLoS ONE</t>
  </si>
  <si>
    <t xml:space="preserve">10.1371/journal.pone.0039679</t>
  </si>
  <si>
    <t xml:space="preserve">22768106</t>
  </si>
  <si>
    <t xml:space="preserve">Chou SD, Prince T, Gong J, Calderwood SK. mTOR is essential for the proteotoxic stress response, HSF1 activation and heat shock protein synthesis. PLoS One. 2012;7(6):e39679. doi: 10.1371/journal.pone.0039679. Epub 2012 Jun 29. PMID: 22768106; PMCID: PMC3387249.</t>
  </si>
  <si>
    <t xml:space="preserve">NPMT-I136</t>
  </si>
  <si>
    <t xml:space="preserve">SIRT1</t>
  </si>
  <si>
    <t xml:space="preserve">Westerheide et al., 2009, Science</t>
  </si>
  <si>
    <t xml:space="preserve">10.1126/science.1165946</t>
  </si>
  <si>
    <t xml:space="preserve">19229036</t>
  </si>
  <si>
    <t xml:space="preserve">Westerheide SD, Anckar J, Stevens SM Jr, Sistonen L, Morimoto RI. Stress-inducible regulation of heat shock factor 1 by the deacetylase SIRT1. Science. 2009 Feb 20;323(5917):1063-6. doi: 10.1126/science.1165946. Erratum in: Science. 2013 Nov 22;342(6161):931. PMID: 19229036; PMCID: PMC3429349.</t>
  </si>
  <si>
    <t xml:space="preserve">NPMT-I137</t>
  </si>
  <si>
    <t xml:space="preserve">Dai et al., 2014, EMBO J</t>
  </si>
  <si>
    <t xml:space="preserve">10.15252/embj.201489062</t>
  </si>
  <si>
    <t xml:space="preserve">25425574</t>
  </si>
  <si>
    <t xml:space="preserve">Dai S, Tang Z, Cao J, Zhou W, Li H, Sampson S, Dai C. Suppression of the HSF1-mediated proteotoxic stress response by the metabolic stress sensor AMPK. EMBO J. 2015 Feb 3;34(3):275-93. doi: 10.15252/embj.201489062. Epub 2014 Nov 25. PMID: 25425574; PMCID: PMC4339117.</t>
  </si>
  <si>
    <t xml:space="preserve">NPMT-I138</t>
  </si>
  <si>
    <t xml:space="preserve">Park &amp; Liu, 2001, J of Cellular Biochemistry</t>
  </si>
  <si>
    <t xml:space="preserve">10.1002/jcb.1163</t>
  </si>
  <si>
    <t xml:space="preserve">11527157</t>
  </si>
  <si>
    <t xml:space="preserve">Park J, Liu AY. JNK phosphorylates the HSF1 transcriptional activation domain: role of JNK in the regulation of the heat shock response. J Cell Biochem. 2001;82(2):326-38. doi: 10.1002/jcb.1163. PMID: 11527157.</t>
  </si>
  <si>
    <t xml:space="preserve">NPMT-I139</t>
  </si>
  <si>
    <t xml:space="preserve">HSP27</t>
  </si>
  <si>
    <t xml:space="preserve">Dierick et al., 2007, Hum. Mutat.</t>
  </si>
  <si>
    <t xml:space="preserve">10.1002/humu.9503</t>
  </si>
  <si>
    <t xml:space="preserve">17623484</t>
  </si>
  <si>
    <t xml:space="preserve">Dierick I, Irobi J, Janssens S, Theuns J, Lemmens R, Jacobs A, Corsmit E, Hersmus N, Van Den Bosch L, Robberecht W, De Jonghe P, Van Broeckhoven C, Timmerman V. Genetic variant in the HSPB1 promoter region impairs the HSP27 stress response. Hum Mutat. 2007 Aug;28(8):830. doi: 10.1002/humu.9503. PMID: 17623484.</t>
  </si>
  <si>
    <t xml:space="preserve">NPMT-I140</t>
  </si>
  <si>
    <t xml:space="preserve">HSP70</t>
  </si>
  <si>
    <t xml:space="preserve">Cotto et al., 1996, Journal of Biological Chemistry</t>
  </si>
  <si>
    <t xml:space="preserve">10.1074/jbc.271.7.3355</t>
  </si>
  <si>
    <t xml:space="preserve">8631933</t>
  </si>
  <si>
    <t xml:space="preserve">Cotto JJ, Kline M, Morimoto RI. Activation of heat shock factor 1 DNA binding precedes stress-induced serine phosphorylation. Evidence for a multistep pathway of regulation. J Biol Chem. 1996 Feb 16;271(7):3355-8. doi: 10.1074/jbc.271.7.3355. PMID: 8631933.</t>
  </si>
  <si>
    <t xml:space="preserve">NPMT-I141</t>
  </si>
  <si>
    <t xml:space="preserve">Tessier et al., 2020, JCI Insight</t>
  </si>
  <si>
    <t xml:space="preserve">10.1172/jci.insight.131382</t>
  </si>
  <si>
    <t xml:space="preserve">31961823</t>
  </si>
  <si>
    <t xml:space="preserve">NP, cartilage tissues</t>
  </si>
  <si>
    <t xml:space="preserve">Tessier S, Doolittle AC, Sao K, Rotty JD, Bear JE, Ulici V, Loeser RF, Shapiro IM, Diekman BO, Risbud MV. Arp2/3 inactivation causes intervertebral disc and cartilage degeneration with dysregulated TonEBP-mediated osmoadaptation. JCI Insight. 2020 Feb 27;5(4):e131382. doi: 10.1172/jci.insight.131382. PMID: 31961823; PMCID: PMC7101139.</t>
  </si>
  <si>
    <t xml:space="preserve">NPMT-I142</t>
  </si>
  <si>
    <t xml:space="preserve">IGF1</t>
  </si>
  <si>
    <t xml:space="preserve">Shi et al., 2015, J of Cellular Biochemistry</t>
  </si>
  <si>
    <t xml:space="preserve">10.1002/jcb.25099</t>
  </si>
  <si>
    <t xml:space="preserve">25708223</t>
  </si>
  <si>
    <t xml:space="preserve">Shi S, Wang C, Acton AJ, Eckert GJ, Trippel SB. Role of sox9 in growth factor regulation of articular chondrocytes. J Cell Biochem. 2015 Jul;116(7):1391-400. doi: 10.1002/jcb.25099. PMID: 25708223; PMCID: PMC5210171.</t>
  </si>
  <si>
    <t xml:space="preserve">NPMT-I143</t>
  </si>
  <si>
    <t xml:space="preserve">Hypo</t>
  </si>
  <si>
    <t xml:space="preserve">IKK</t>
  </si>
  <si>
    <t xml:space="preserve">Culver et al., 2010, Molecular and Cellular Biology</t>
  </si>
  <si>
    <t xml:space="preserve">10.1128/mcb.00409-10</t>
  </si>
  <si>
    <t xml:space="preserve">20696840</t>
  </si>
  <si>
    <t xml:space="preserve">Direct activation — Hypoxia induces IKK activity via CaMK2/TAK1 pathway. Tested in cancer cell cultures, not NP.</t>
  </si>
  <si>
    <t xml:space="preserve">U2OS/HeLa cultured cells</t>
  </si>
  <si>
    <t xml:space="preserve">Culver C, Sundqvist A, Mudie S, Melvin A, Xirodimas D, Rocha S. Mechanism of hypoxia-induced NF-kappaB. Mol Cell Biol. 2010;30(20):4901-4921. doi: 10.1128/MCB.00409-10. PMID: 20696840.</t>
  </si>
  <si>
    <t xml:space="preserve">NPMT-I144</t>
  </si>
  <si>
    <t xml:space="preserve">TAK1</t>
  </si>
  <si>
    <t xml:space="preserve">Takaesu et al., 2003, Journal of Molecular Biology</t>
  </si>
  <si>
    <t xml:space="preserve">10.1016/s0022-2836(02)01404-3</t>
  </si>
  <si>
    <t xml:space="preserve">12547194</t>
  </si>
  <si>
    <t xml:space="preserve">Takaesu G, Surabhi RM, Park KJ, Ninomiya-Tsuji J, Matsumoto K, Gaynor RB. TAK1 is critical for IkappaB kinase-mediated activation of the NF-kappaB pathway. J Mol Biol. 2003 Feb 7;326(1):105-15. doi: 10.1016/s0022-2836(02)01404-3. PMID: 12547194.</t>
  </si>
  <si>
    <t xml:space="preserve">NPMT-I145</t>
  </si>
  <si>
    <t xml:space="preserve">IL1β</t>
  </si>
  <si>
    <t xml:space="preserve">Makino et al., 2017, Sci Rep</t>
  </si>
  <si>
    <t xml:space="preserve">10.1038/s41598-017-17289-y</t>
  </si>
  <si>
    <t xml:space="preserve">Makino, H., Seki, S., Yahara, Y. et al. A selective inhibition of c-Fos/activator protein-1 as a potential therapeutic target for intervertebral disc degeneration and associated pain. Sci Rep 7, 16983 (2017). https://doi.org/10.1038/s41598-017-17289-y</t>
  </si>
  <si>
    <t xml:space="preserve">NPMT-I146</t>
  </si>
  <si>
    <t xml:space="preserve">Liu Y et al., 2017</t>
  </si>
  <si>
    <t xml:space="preserve">Liu Y., Wei J., Zhao Y., Zhang Y., Han Y., Chen B., Cheng K., Jia J., Nie L., Cheng L. Follistatin-like protein 1 promotes inflammatory reactions in nucleus pulposus cells by interacting with the MAPK and NFκB signaling pathways. Oncotarget. 2017; 8: 43023-43034. Retrieved from https://www.oncotarget.com/article/17400/text/</t>
  </si>
  <si>
    <t xml:space="preserve">NPMT-I147</t>
  </si>
  <si>
    <t xml:space="preserve">Matsushita et al., 2018, Oncogene</t>
  </si>
  <si>
    <t xml:space="preserve">10.1038/s41388-018-0417-7</t>
  </si>
  <si>
    <t xml:space="preserve">30401981</t>
  </si>
  <si>
    <t xml:space="preserve">Matsushita A, Sato T, Mukai S, Fujishita T, Mishiro-Sato E, Okuda M, Aoki M, Hasegawa Y, Sekido Y. TAZ activation by Hippo pathway dysregulation induces cytokine gene expression and promotes mesothelial cell transformation. Oncogene. 2019 Mar;38(11):1966-1978. doi: 10.1038/s41388-018-0417-7. Epub 2018 Nov 6. PMID: 30401981.</t>
  </si>
  <si>
    <t xml:space="preserve">NPMT-I148</t>
  </si>
  <si>
    <t xml:space="preserve">NPMT-I149</t>
  </si>
  <si>
    <t xml:space="preserve">IL6</t>
  </si>
  <si>
    <t xml:space="preserve">NPMT-I150</t>
  </si>
  <si>
    <t xml:space="preserve">NPMT-I151</t>
  </si>
  <si>
    <t xml:space="preserve">NPMT-I152</t>
  </si>
  <si>
    <t xml:space="preserve">NPMT-I153</t>
  </si>
  <si>
    <t xml:space="preserve">IL8</t>
  </si>
  <si>
    <t xml:space="preserve">Takahashi et al., 2015, Osteoarthritis and Cartilage</t>
  </si>
  <si>
    <t xml:space="preserve">10.1016/j.joca.2015.02.168</t>
  </si>
  <si>
    <t xml:space="preserve">26521741</t>
  </si>
  <si>
    <t xml:space="preserve">Takahashi A, de Andrés MC, Hashimoto K, Itoi E, Oreffo RO. Epigenetic regulation of interleukin-8, an inflammatory chemokine, in osteoarthritis. Osteoarthritis Cartilage. 2015 Nov;23(11):1946-54. doi: 10.1016/j.joca.2015.02.168. PMID: 26521741; PMCID: PMC4638192.</t>
  </si>
  <si>
    <t xml:space="preserve">NPMT-I154</t>
  </si>
  <si>
    <t xml:space="preserve">NPMT-I155</t>
  </si>
  <si>
    <t xml:space="preserve">iNOS</t>
  </si>
  <si>
    <t xml:space="preserve">Ahmad et al., 2020</t>
  </si>
  <si>
    <t xml:space="preserve">Ahmad, N., Ansari, M. Y., Bano, S., &amp; Haqqi, T. M. (2020). Imperatorin suppresses IL-1β-induced iNOS expression via inhibiting ERK-MAPK/AP1 signaling in primary human OA chondrocytes. International immunopharmacology, 85, 106612.</t>
  </si>
  <si>
    <t xml:space="preserve">NPMT-I156</t>
  </si>
  <si>
    <t xml:space="preserve">NPMT-I157</t>
  </si>
  <si>
    <t xml:space="preserve">NPMT-I158</t>
  </si>
  <si>
    <t xml:space="preserve">PLCγ-E</t>
  </si>
  <si>
    <t xml:space="preserve">NPMT-I159</t>
  </si>
  <si>
    <t xml:space="preserve">Servitja et al., 2000, Journal of Neurochemistry</t>
  </si>
  <si>
    <t xml:space="preserve">10.1046/j.1471-4159.2000.0750788.x</t>
  </si>
  <si>
    <t xml:space="preserve">10899956</t>
  </si>
  <si>
    <t xml:space="preserve">Indirect supporting mechanism — Oxidative stress activated PLC and accumulated inositol phosphates, consistent with IP3 generation.</t>
  </si>
  <si>
    <t xml:space="preserve">Servitja JM, Masgrau R, Pardo R, Sarri E, Picatoste F. Effects of oxidative stress on phospholipid signaling in rat cultured astrocytes and brain slices. J Neurochem. 2000;75(2):788-794. doi: 10.1046/j.1471-4159.2000.0750788.x. PMID: 10899956.</t>
  </si>
  <si>
    <t xml:space="preserve">NPMT-I160</t>
  </si>
  <si>
    <t xml:space="preserve">Vanderheyden et al., 2009, Biochimica et Biophysica Acta (BBA) - Molecular Cell Research</t>
  </si>
  <si>
    <t xml:space="preserve">10.1016/j.bbamcr.2008.12.003</t>
  </si>
  <si>
    <t xml:space="preserve">19133301</t>
  </si>
  <si>
    <t xml:space="preserve">Vanderheyden V, Devogelaere B, Missiaen L, De Smedt H, Bultynck G, Parys JB. Regulation of inositol 1,4,5-trisphosphate-induced Ca2+ release by reversible phosphorylation and dephosphorylation. Biochim Biophys Acta. 2009 Jun;1793(6):959-70. doi: 10.1016/j.bbamcr.2008.12.003. Epub 2008 Dec 16. PMID: 19133301; PMCID: PMC2693466.</t>
  </si>
  <si>
    <t xml:space="preserve">NPMT-I161</t>
  </si>
  <si>
    <t xml:space="preserve">IκBα</t>
  </si>
  <si>
    <t xml:space="preserve">Montaseri et al., 2011</t>
  </si>
  <si>
    <t xml:space="preserve">Montaseri, A., Busch, F., Mobasheri, A., Buhrmann, C., Aldinger, C., Rad, J. S., &amp; Shakibaei, M. (2011). IGF-1 and PDGF-bb suppress IL-1β-induced cartilage degradation through down-regulation of NF-κB signaling: involvement of Src/PI-3K/AKT pathway. PloS one, 6(12), e28663.</t>
  </si>
  <si>
    <t xml:space="preserve">NPMT-I162</t>
  </si>
  <si>
    <t xml:space="preserve">Que et al., 2024, ABBS</t>
  </si>
  <si>
    <t xml:space="preserve">10.3724/abbs.2024027</t>
  </si>
  <si>
    <t xml:space="preserve">38495003</t>
  </si>
  <si>
    <t xml:space="preserve">Que Y, Wong C, Qiu J, Gao W, Lin Y, Zhou H, Gao B, Li P, Deng Z, Shi H, Hu W, Liu S, Peng Y, Su P, Xu C, Liang A, Qiu X, Huang D. Maslinic acid alleviates intervertebral disc degeneration by inhibiting the PI3K/AKT and NF-κB signaling pathways. Acta Biochim Biophys Sin (Shanghai). 2024 May 25;56(5):776-788. doi: 10.3724/abbs.2024027. PMID: 38495003; PMCID: PMC11187486.</t>
  </si>
  <si>
    <t xml:space="preserve">NPMT-I163</t>
  </si>
  <si>
    <t xml:space="preserve">Gemba et al., 2002, Journal of Biological Chemistry</t>
  </si>
  <si>
    <t xml:space="preserve">10.1074/jbc.m109690200</t>
  </si>
  <si>
    <t xml:space="preserve">11677248</t>
  </si>
  <si>
    <t xml:space="preserve">Gemba T, Valbracht J, Alsalameh S, Lotz M. Focal adhesion kinase and mitogen-activated protein kinases are involved in chondrocyte activation by the 29-kDa amino-terminal fibronectin fragment. J Biol Chem. 2002 Jan 11;277(2):907-11. doi: 10.1074/jbc.M109690200. Epub 2001 Oct 24. PMID: 11677248.</t>
  </si>
  <si>
    <t xml:space="preserve">NPMT-I164</t>
  </si>
  <si>
    <t xml:space="preserve">MKK4/7</t>
  </si>
  <si>
    <t xml:space="preserve">Liu et al., 2024, Front. Cell Dev. Biol.</t>
  </si>
  <si>
    <t xml:space="preserve">10.3389/fcell.2024.1423665</t>
  </si>
  <si>
    <t xml:space="preserve">39364138</t>
  </si>
  <si>
    <t xml:space="preserve">Liu G, Gao L, Wang Y, Xie X, Gao X, Wu X. The JNK signaling pathway in intervertebral disc degeneration. Front Cell Dev Biol. 2024 Sep 19;12:1423665. doi: 10.3389/fcell.2024.1423665. PMID: 39364138; PMCID: PMC11447294.</t>
  </si>
  <si>
    <t xml:space="preserve">NPMT-I165</t>
  </si>
  <si>
    <t xml:space="preserve">Li et al., 2020, Connective Tissue Research</t>
  </si>
  <si>
    <t xml:space="preserve">10.1080/03008207.2020.1736578</t>
  </si>
  <si>
    <t xml:space="preserve">32180463</t>
  </si>
  <si>
    <t xml:space="preserve">Li 2021 (marker: JNK)</t>
  </si>
  <si>
    <t xml:space="preserve">Li Z, Wang J, Deng X, Huang D, Shao Z, Ma K. Compression stress induces nucleus pulposus cell autophagy by inhibition of the PI3K/AKT/mTOR pathway and activation of the JNK pathway. Connect Tissue Res. 2021 May;62(3):337-349. doi: 10.1080/03008207.2020.1736578. Epub 2020 Mar 17. PMID: 32180463.</t>
  </si>
  <si>
    <t xml:space="preserve">NPMT-I166</t>
  </si>
  <si>
    <t xml:space="preserve">LATS1/2</t>
  </si>
  <si>
    <t xml:space="preserve">Li et al., 2018, Int J Mol Med</t>
  </si>
  <si>
    <t xml:space="preserve">10.3892/ijmm.2018.3921</t>
  </si>
  <si>
    <t xml:space="preserve">30320354</t>
  </si>
  <si>
    <t xml:space="preserve">Li H, Li X, Jing X, Li M, Ren Y, Chen J, Yang C, Wu H, Guo F. Hypoxia promotes maintenance of the chondrogenic phenotype in rat growth plate chondrocytes through the HIF-1α/YAP signaling pathway. Int J Mol Med. 2018 Dec;42(6):3181-3192. doi: 10.3892/ijmm.2018.3921. Epub 2018 Oct 9. PMID: 30320354; PMCID: PMC6202095.</t>
  </si>
  <si>
    <t xml:space="preserve">NPMT-I167</t>
  </si>
  <si>
    <t xml:space="preserve">ROCK-E</t>
  </si>
  <si>
    <t xml:space="preserve">Yu et al., 2012, Cell (+1 more)</t>
  </si>
  <si>
    <t xml:space="preserve">10.1016/j.cell.2012.06.037; 10.1016/j.cell.2024.02.007</t>
  </si>
  <si>
    <t xml:space="preserve">22863277</t>
  </si>
  <si>
    <t xml:space="preserve">Yu FX, Zhao B, Panupinthu N, Jewell JL, Lian I, Wang LH, Zhao J, Yuan H, Tumaneng K, Li H, Fu XD, Mills GB, Guan KL. Regulation of the Hippo-YAP pathway by G-protein-coupled receptor signaling. Cell. 2012 Aug 17;150(4):780-91. doi: 10.1016/j.cell.2012.06.037. Epub 2012 Aug 2. Erratum in: Cell. 2024 Mar 14;187(6):1563-1564. doi: 10.1016/j.cell.2024.02.007. PMID: 22863277; PMCID: PMC3433174.</t>
  </si>
  <si>
    <t xml:space="preserve">NPMT-I168</t>
  </si>
  <si>
    <t xml:space="preserve">ROCK-M</t>
  </si>
  <si>
    <t xml:space="preserve">NPMT-I169</t>
  </si>
  <si>
    <t xml:space="preserve">PKN1</t>
  </si>
  <si>
    <t xml:space="preserve">LIMK1</t>
  </si>
  <si>
    <t xml:space="preserve">Dong et al., 2000, Proc. Natl. Acad. Sci. U.S.A. (+1 more)</t>
  </si>
  <si>
    <t xml:space="preserve">10.1073/pnas.090491897; 10.1074/jbc.275.5.3577</t>
  </si>
  <si>
    <t xml:space="preserve">10792047; 10652353</t>
  </si>
  <si>
    <t xml:space="preserve">Contextual; pathway analogy only — PKN1 is activated by PDK1 and affects actin cytoskeleton; separately ROCK activates LIMK1; PKN1 to LIMK1 not directly demonstrated. Selected two primary mechanistic studies that connect PKN1 and LIMK1 to cytoskeletal regulation separately; no direct PKN1→LIMK1 evidence</t>
  </si>
  <si>
    <t xml:space="preserve">Dong LQ, Landa LR, Wick MJ, Zhu L, Mukai H, Ono Y, Liu F. Phosphorylation of protein kinase N by phosphoinositide-dependent protein kinase-1 mediates insulin signals to the actin cytoskeleton. Proc Natl Acad Sci U S A. 2000;97(10):5089-5094. doi: 10.1073/pnas.090491897. PMID: 10792047. | Ohashi K, Nagata K, Maekawa M, Ishizaki T, Narumiya S, Mizuno K. Rho-associated kinase ROCK activates LIM-kinase 1 by phosphorylation at threonine 508 within the activation loop. J Biol Chem. 2000;275(5):3577-3582. doi: 10.1074/jbc.275.5.3577. PMID: 10652353.</t>
  </si>
  <si>
    <t xml:space="preserve">NPMT-I170</t>
  </si>
  <si>
    <t xml:space="preserve">Li et al., 2014, IJMS</t>
  </si>
  <si>
    <t xml:space="preserve">10.3390/ijms15011176</t>
  </si>
  <si>
    <t xml:space="preserve">24441571</t>
  </si>
  <si>
    <t xml:space="preserve">Li Z, Liang J, Wu WK, Yu X, Yu J, Weng X, Shen J. Leptin activation RhoA/ROCK pathway to induce cytoskeleton remodeling in nucleus pulposus cells. Int J Mol Sci. 2014 Jan 16;15(1):1176-88. doi: 10.3390/ijms15011176. PMID: 24441571; PMCID: PMC3907862.</t>
  </si>
  <si>
    <t xml:space="preserve">NPMT-I171</t>
  </si>
  <si>
    <t xml:space="preserve">NPMT-I172</t>
  </si>
  <si>
    <t xml:space="preserve">Huang et al., 2017, Front. Pharmacol.</t>
  </si>
  <si>
    <t xml:space="preserve">10.3389/fphar.2017.00756</t>
  </si>
  <si>
    <t xml:space="preserve">29093683</t>
  </si>
  <si>
    <t xml:space="preserve">Huang Y, Smith CA, Chen G, Sharma B, Miner AS, Barbee RW, Ratz PH. The AMP-Dependent Protein Kinase (AMPK) Activator A-769662 Causes Arterial Relaxation by Reducing Cytosolic Free Calcium Independently of an Increase in AMPK Phosphorylation. Front Pharmacol. 2017 Oct 18;8:756. doi: 10.3389/fphar.2017.00756. PMID: 29093683; PMCID: PMC5651270.</t>
  </si>
  <si>
    <t xml:space="preserve">NPMT-I173</t>
  </si>
  <si>
    <t xml:space="preserve">Patel et al., 2019, Biochemical Journal</t>
  </si>
  <si>
    <t xml:space="preserve">10.1042/bcj20190410</t>
  </si>
  <si>
    <t xml:space="preserve">31530712</t>
  </si>
  <si>
    <t xml:space="preserve">Patel P, Naik MU, Golla K, Shaik NF, Naik UP. Calcium-induced dissociation of CIB1 from ASK1 regulates agonist-induced activation of the p38 MAPK pathway in platelets. Biochem J. 2019 Oct 15;476(19):2835-2850. doi: 10.1042/BCJ20190410. PMID: 31530712; PMCID: PMC7071732.</t>
  </si>
  <si>
    <t xml:space="preserve">NPMT-I174</t>
  </si>
  <si>
    <t xml:space="preserve">NPMT-I175</t>
  </si>
  <si>
    <t xml:space="preserve">RAF-E</t>
  </si>
  <si>
    <t xml:space="preserve">Zhang et al., 2024, Front. Cell Dev. Biol.</t>
  </si>
  <si>
    <t xml:space="preserve">10.3389/fcell.2023.1324561</t>
  </si>
  <si>
    <t xml:space="preserve">38313000</t>
  </si>
  <si>
    <t xml:space="preserve">IDD review</t>
  </si>
  <si>
    <t xml:space="preserve">Zhang X, Zhang Z, Zou X, Wang Y, Qi J, Han S, Xin J, Zheng Z, Wei L, Zhang T, Zhang S. Unraveling the mechanisms of intervertebral disc degeneration: an exploration of the p38 MAPK signaling pathway. Front Cell Dev Biol. 2024 Jan 19;11:1324561. doi: 10.3389/fcell.2023.1324561. PMID: 38313000; PMCID: PMC10834758.</t>
  </si>
  <si>
    <t xml:space="preserve">NPMT-I176</t>
  </si>
  <si>
    <t xml:space="preserve">RAF-M</t>
  </si>
  <si>
    <t xml:space="preserve">NPMT-I177</t>
  </si>
  <si>
    <t xml:space="preserve">MKK3/6</t>
  </si>
  <si>
    <t xml:space="preserve">Shi et al., 2023, Cell Proliferation</t>
  </si>
  <si>
    <t xml:space="preserve">10.1111/cpr.13438</t>
  </si>
  <si>
    <t xml:space="preserve">36872558</t>
  </si>
  <si>
    <t xml:space="preserve">Shi ZW, Zhu L, Song ZR, Liu TJ, Hao DJ. Roles of p38 MAPK signalling in intervertebral disc degeneration. Cell Prolif. 2023 Aug;56(8):e13438. doi: 10.1111/cpr.13438. Epub 2023 Mar 5. PMID: 36872558; PMCID: PMC10392072.</t>
  </si>
  <si>
    <t xml:space="preserve">NPMT-I178</t>
  </si>
  <si>
    <t xml:space="preserve">NPMT-I179</t>
  </si>
  <si>
    <t xml:space="preserve">MMP1</t>
  </si>
  <si>
    <t xml:space="preserve">Catterall et al., 2001, Arthritis &amp; Rheumatism</t>
  </si>
  <si>
    <t xml:space="preserve">10.1002/1529-0131(200110)44:10&lt;2296::aid-art392&gt;3.0.co;2-9</t>
  </si>
  <si>
    <t xml:space="preserve">11665970</t>
  </si>
  <si>
    <t xml:space="preserve">Catterall JB, Carrère S, Koshy PJ, Degnan BA, Shingleton WD, Brinckerhoff CE, Rutter J, Cawston TE, Rowan AD. Synergistic induction of matrix metalloproteinase 1 by interleukin-1alpha and oncostatin M in human chondrocytes involves signal transducer and activator of transcription and activator protein 1 transcription factors via a novel mechanism. Arthritis Rheum. 2001 Oct;44(10):2296-310. doi: 10.1002/1529-0131(200110)44:10&lt;2296::aid-art392&gt;3.0.co;2-9. PMID: 11665970.</t>
  </si>
  <si>
    <t xml:space="preserve">NPMT-I180</t>
  </si>
  <si>
    <t xml:space="preserve">NPMT-I181</t>
  </si>
  <si>
    <t xml:space="preserve">Li et al., 2024, JIR</t>
  </si>
  <si>
    <t xml:space="preserve">10.2147/jir.s444758</t>
  </si>
  <si>
    <t xml:space="preserve">38406325</t>
  </si>
  <si>
    <t xml:space="preserve">Li M, Zhang FJ, Bai RJ. The Hippo-YAP Signaling Pathway in Osteoarthritis and Rheumatoid Arthritis. J Inflamm Res. 2024 Feb 19;17:1105-1120. doi: 10.2147/JIR.S444758. PMID: 38406325; PMCID: PMC10891274.</t>
  </si>
  <si>
    <t xml:space="preserve">NPMT-I182</t>
  </si>
  <si>
    <t xml:space="preserve">Ouyang et al., 2019, DDDT</t>
  </si>
  <si>
    <t xml:space="preserve">10.2147/dddt.s203974</t>
  </si>
  <si>
    <t xml:space="preserve">31496660</t>
  </si>
  <si>
    <t xml:space="preserve">Ouyang Y, Wang W, Tu B, Zhu Y, Fan C, Li Y. Overexpression of SOX9 alleviates the progression of human osteoarthritis in vitro and in vivo. Drug Des Devel Ther. 2019 Aug 13;13:2833-2842. doi: 10.2147/DDDT.S203974. PMID: 31496660; PMCID: PMC6698167.</t>
  </si>
  <si>
    <t xml:space="preserve">NPMT-I183</t>
  </si>
  <si>
    <t xml:space="preserve">MMP13</t>
  </si>
  <si>
    <t xml:space="preserve">29208967</t>
  </si>
  <si>
    <t xml:space="preserve">Makino H, Seki S, Yahara Y, Shiozawa S, Aikawa Y, Motomura H, Nogami M, Watanabe K, Sainoh T, Ito H, Tsumaki N, Kawaguchi Y, Yamazaki M, Kimura T. A selective inhibition of c-Fos/activator protein-1 as a potential therapeutic target for intervertebral disc degeneration and associated pain. Sci Rep. 2017 Dec 5;7(1):16983. doi: 10.1038/s41598-017-17289-y. PMID: 29208967; PMCID: PMC5717052.</t>
  </si>
  <si>
    <t xml:space="preserve">NPMT-I184</t>
  </si>
  <si>
    <t xml:space="preserve">NPMT-I185</t>
  </si>
  <si>
    <t xml:space="preserve">Song et al., 2021, Connective Tissue Research</t>
  </si>
  <si>
    <t xml:space="preserve">10.1080/03008207.2021.1952193</t>
  </si>
  <si>
    <t xml:space="preserve">34420462</t>
  </si>
  <si>
    <t xml:space="preserve">Song M, Zhang Y, Sun Y, Kong M, Han S, Wang C, Wang Y, Xu D, Tu Q, Zhu K, Sun C, Li G, Zhao H, Ma X. Inhibition of RhoA/MRTF-A signaling alleviates nucleus pulposus fibrosis induced by mechanical stress overload. Connect Tissue Res. 2022 Jan;63(1):53-68. doi: 10.1080/03008207.2021.1952193. Epub 2021 Aug 21. PMID: 34420462.</t>
  </si>
  <si>
    <t xml:space="preserve">NPMT-I186</t>
  </si>
  <si>
    <t xml:space="preserve">NPMT-I187</t>
  </si>
  <si>
    <t xml:space="preserve">Wang et al., 2009, The Journal of Pathology</t>
  </si>
  <si>
    <t xml:space="preserve">10.1002/path.2578</t>
  </si>
  <si>
    <t xml:space="preserve">19526482</t>
  </si>
  <si>
    <t xml:space="preserve">Wang J, Gardner BM, Lu Q, Rodova M, Woodbury BG, Yost JG, Roby KF, Pinson DM, Tawfik O, Anderson HC. Transcription factor Nfat1 deficiency causes osteoarthritis through dysfunction of adult articular chondrocytes. J Pathol. 2009 Oct;219(2):163-72. doi: 10.1002/path.2578. PMID: 19526482; PMCID: PMC2975457.</t>
  </si>
  <si>
    <t xml:space="preserve">NPMT-I188</t>
  </si>
  <si>
    <t xml:space="preserve">Itoh et al., 2012, ajvr</t>
  </si>
  <si>
    <t xml:space="preserve">10.2460/ajvr.73.10.1553</t>
  </si>
  <si>
    <t xml:space="preserve">23013180</t>
  </si>
  <si>
    <t xml:space="preserve">dog</t>
  </si>
  <si>
    <t xml:space="preserve">Itoh H, Hara Y, Tagawa M, Kato T, Ochi H, Koga D, Okawa A, Asou Y. Evaluation of the association between runt-related transcription factor 2 expression and intervertebral disk aging in dogs. Am J Vet Res. 2012 Oct;73(10):1553-9. doi: 10.2460/ajvr.73.10.1553. PMID: 23013180.</t>
  </si>
  <si>
    <t xml:space="preserve">NPMT-I189</t>
  </si>
  <si>
    <t xml:space="preserve">NPMT-I190</t>
  </si>
  <si>
    <t xml:space="preserve">NPMT-I191</t>
  </si>
  <si>
    <t xml:space="preserve">MMP3</t>
  </si>
  <si>
    <t xml:space="preserve">NPMT-I192</t>
  </si>
  <si>
    <t xml:space="preserve">NPMT-I193</t>
  </si>
  <si>
    <t xml:space="preserve">NPMT-I194</t>
  </si>
  <si>
    <t xml:space="preserve">NPMT-I195</t>
  </si>
  <si>
    <t xml:space="preserve">Chipuk et al., 2006, Cell Death Differ</t>
  </si>
  <si>
    <t xml:space="preserve">10.1038/sj.cdd.4401963</t>
  </si>
  <si>
    <t xml:space="preserve">Chipuk, J., Bouchier-Hayes, L. &amp; Green, D. Mitochondrial outer membrane permeabilization during apoptosis: the innocent bystander scenario. Cell Death Differ 13, 1396–1402 (2006). https://doi.org/10.1038/sj.cdd.4401963</t>
  </si>
  <si>
    <t xml:space="preserve">NPMT-I196</t>
  </si>
  <si>
    <t xml:space="preserve">NPMT-I197</t>
  </si>
  <si>
    <t xml:space="preserve">Zhao et al., 2007, Journal of Cell Science</t>
  </si>
  <si>
    <t xml:space="preserve">10.1242/jcs.001586</t>
  </si>
  <si>
    <t xml:space="preserve">17456553</t>
  </si>
  <si>
    <t xml:space="preserve">Zhao XH, Laschinger C, Arora P, Szászi K, Kapus A, McCulloch CA. Force activation smooth muscle alpha-actin promoter activity through the Rho signaling pathway. J Cell Sci. 2007 May 15;120(Pt 10):1801-9. doi: 10.1242/jcs.001586. Epub 2007 Apr 24. PMID: 17456553.</t>
  </si>
  <si>
    <t xml:space="preserve">NPMT-I198</t>
  </si>
  <si>
    <t xml:space="preserve">NPMT-I199</t>
  </si>
  <si>
    <t xml:space="preserve">Yu et al., 2013, Genes Dev.</t>
  </si>
  <si>
    <t xml:space="preserve">10.1101/gad.219402.113</t>
  </si>
  <si>
    <t xml:space="preserve">23752589</t>
  </si>
  <si>
    <t xml:space="preserve">Yu FX, Zhang Y, Park HW, Jewell JL, Chen Q, Deng Y, Pan D, Taylor SS, Lai ZC, Guan KL. Protein kinase A activation the Hippo pathway to modulate cell proliferation and differentiation. Genes Dev. 2013 Jun 1;27(11):1223-32. doi: 10.1101/gad.219402.113. PMID: 23752589; PMCID: PMC3690396.</t>
  </si>
  <si>
    <t xml:space="preserve">NPMT-I200</t>
  </si>
  <si>
    <t xml:space="preserve">Szwed et al., 2021, Physiological Reviews</t>
  </si>
  <si>
    <t xml:space="preserve">10.1152/physrev.00026.2020</t>
  </si>
  <si>
    <t xml:space="preserve">33599151</t>
  </si>
  <si>
    <t xml:space="preserve">Szwed A, Kim E, Jacinto E. Regulation and metabolic functions of mTORC1 and mTORC2. Physiol Rev. 2021 Jul 1;101(3):1371-1426. doi: 10.1152/physrev.00026.2020. Epub 2021 Feb 18. PMID: 33599151; PMCID: PMC8424549.</t>
  </si>
  <si>
    <t xml:space="preserve">NPMT-I201</t>
  </si>
  <si>
    <t xml:space="preserve">NPMT-I202</t>
  </si>
  <si>
    <t xml:space="preserve">PLD2</t>
  </si>
  <si>
    <t xml:space="preserve">Hornberger et al., 2006, Proc. Natl. Acad. Sci. U.S.A.</t>
  </si>
  <si>
    <t xml:space="preserve">10.1073/pnas.0600678103</t>
  </si>
  <si>
    <t xml:space="preserve">16537399</t>
  </si>
  <si>
    <t xml:space="preserve">Hornberger TA, Chu WK, Mak YW, Hsiung JW, Huang SA, Chien S. The role of phospholipase D and phosphatidic acid in the mechanical activation of mTOR signaling in skeletal muscle. Proc Natl Acad Sci U S A. 2006 Mar 21;103(12):4741-6. doi: 10.1073/pnas.0600678103. Epub 2006 Mar 14. PMID: 16537399; PMCID: PMC1450240.</t>
  </si>
  <si>
    <t xml:space="preserve">NPMT-I203</t>
  </si>
  <si>
    <t xml:space="preserve">Rheb</t>
  </si>
  <si>
    <t xml:space="preserve">Long et al., 2005, Current Biology</t>
  </si>
  <si>
    <t xml:space="preserve">10.1016/j.cub.2005.02.053</t>
  </si>
  <si>
    <t xml:space="preserve">15854902</t>
  </si>
  <si>
    <t xml:space="preserve">Long X, Lin Y, Ortiz-Vega S, Yonezawa K, Avruch J. Rheb binds and regulates the mTOR kinase. Curr Biol. 2005 Apr 26;15(8):702-13. doi: 10.1016/j.cub.2005.02.053. PMID: 15854902.</t>
  </si>
  <si>
    <t xml:space="preserve">NPMT-I204</t>
  </si>
  <si>
    <t xml:space="preserve">Ansari et al., 2018, Cell Physiol Biochem</t>
  </si>
  <si>
    <t xml:space="preserve">10.1159/000493225</t>
  </si>
  <si>
    <t xml:space="preserve">30184535</t>
  </si>
  <si>
    <t xml:space="preserve">Ansari MY, Ahmad N, Haqqi TM. Butein activation Autophagy Through AMPK/TSC2/ULK1/mTOR Pathway to Inhibit IL-6 Expression in IL-1β Stimulated Human Chondrocytes. Cell Physiol Biochem. 2018;49(3):932-946. doi: 10.1159/000493225. Epub 2018 Sep 5. PMID: 30184535.</t>
  </si>
  <si>
    <t xml:space="preserve">NPMT-I205</t>
  </si>
  <si>
    <t xml:space="preserve">Thompson et al., 2013, Stem Cells</t>
  </si>
  <si>
    <t xml:space="preserve">10.1002/stem.1476</t>
  </si>
  <si>
    <t xml:space="preserve">23836527</t>
  </si>
  <si>
    <t xml:space="preserve">Thompson WR, Guilluy C, Xie Z, Sen B, Brobst KE, Yen SS, Uzer G, Styner M, Case N, Burridge K, Rubin J. Mechanically activated Fyn utilizes mTORC2 to regulate RhoA and adipogenesis in mesenchymal stem cells. Stem Cells. 2013 Nov;31(11):2528-37. doi: 10.1002/stem.1476. PMID: 23836527; PMCID: PMC4040149.</t>
  </si>
  <si>
    <t xml:space="preserve">NPMT-I206</t>
  </si>
  <si>
    <t xml:space="preserve">Ouyang et al., 2017, Oncotarget</t>
  </si>
  <si>
    <t xml:space="preserve">10.18632/oncotarget.18628</t>
  </si>
  <si>
    <t xml:space="preserve">28915718</t>
  </si>
  <si>
    <t xml:space="preserve">Ouyang ZH, Wang WJ, Yan YG, Wang B, Lv GH. The PI3K/Akt pathway: a critical player in intervertebral disc degeneration. Oncotarget. 2017 Jun 27;8(34):57870-57881. doi: 10.18632/oncotarget.18628. PMID: 28915718; PMCID: PMC5593690.</t>
  </si>
  <si>
    <t xml:space="preserve">NPMT-I207</t>
  </si>
  <si>
    <t xml:space="preserve">Julien et al., 2010, Molecular and Cellular Biology</t>
  </si>
  <si>
    <t xml:space="preserve">10.1128/mcb.00601-09</t>
  </si>
  <si>
    <t xml:space="preserve">19995915</t>
  </si>
  <si>
    <t xml:space="preserve">ulien LA, Carriere A, Moreau J, Roux PP. mTORC1-activated S6K1 phosphorylates Rictor on threonine 1135 and regulates mTORC2 signaling. Mol Cell Biol. 2010 Feb;30(4):908-21. doi: 10.1128/MCB.00601-09. Epub 2009 Dec 7. PMID: 19995915; PMCID: PMC2815569.</t>
  </si>
  <si>
    <t xml:space="preserve">NPMT-I208</t>
  </si>
  <si>
    <t xml:space="preserve">Feng et al., 2017, International Journal of Molecular Medicine</t>
  </si>
  <si>
    <t xml:space="preserve">10.3892/ijmm.2017.3005</t>
  </si>
  <si>
    <t xml:space="preserve">28560408</t>
  </si>
  <si>
    <t xml:space="preserve">Feng C, He J, Zhang Y, Lan M, Yang M, Liu H, Huang B, Pan Y, Zhou Y. Collagen-derived N-acetylated proline-glycine-proline upregulates the expression of pro-inflammatory cytokines and extracellular matrix proteases in nucleus pulposus cells via the NF-κB and MAPK signaling pathways. Int J Mol Med. 2017 Jul;40(1):164-174. doi: 10.3892/ijmm.2017.3005. Epub 2017 May 29. PMID: 28560408; PMCID: PMC5466390.</t>
  </si>
  <si>
    <t xml:space="preserve">NPMT-I209</t>
  </si>
  <si>
    <t xml:space="preserve">Hou et al., 2018, Cell Physiol Biochem</t>
  </si>
  <si>
    <t xml:space="preserve">10.1159/000489804</t>
  </si>
  <si>
    <t xml:space="preserve">29768261</t>
  </si>
  <si>
    <t xml:space="preserve">Hou G, Zhao H, Teng H, Li P, Xu W, Zhang J, Lv L, Guo Z, Wei L, Yao H, Xu Y. N-Cadherin Attenuates High Glucose-Induced Nucleus Pulposus Cell Senescence Through Regulation of the ROS/NF-κB Pathway. Cell Physiol Biochem. 2018;47(1):257-265. doi: 10.1159/000489804. Epub 2018 May 11. PMID: 29768261.</t>
  </si>
  <si>
    <t xml:space="preserve">NPMT-I210</t>
  </si>
  <si>
    <t xml:space="preserve">tissue</t>
  </si>
  <si>
    <t xml:space="preserve">NPMT-I211</t>
  </si>
  <si>
    <t xml:space="preserve">Lin et al., 2019</t>
  </si>
  <si>
    <t xml:space="preserve">Lin, W., Shi, C., Wang, W., Wu, H., Yang, C., Wang, A., ... &amp; Yuan, W. (2019). Osmolarity and calcium regulate connective tissue growth factor (CTGF/CCN2) expression in nucleus pulposus cells. Gene, 704, 15-24.</t>
  </si>
  <si>
    <t xml:space="preserve">NPMT-I212</t>
  </si>
  <si>
    <t xml:space="preserve">Zhou et al., 2022, Oxidative Medicine and Cellular Longevity (+1 more)</t>
  </si>
  <si>
    <t xml:space="preserve">10.1155/2022/5635797; 10.1038/s41419-019-1701-3</t>
  </si>
  <si>
    <t xml:space="preserve">35154568; 31263165</t>
  </si>
  <si>
    <t xml:space="preserve">Mice, murine</t>
  </si>
  <si>
    <t xml:space="preserve">Zhou Z, Zhang L, Liu Y, Huang C, Xia W, Zhou H, Zhou Z, Zhou X. Luteolin Protects Chondrocytes from H2O2-Induced Oxidative Injury and Attenuates Osteoarthritis Progression by Activating AMPK-Nrf2 Signaling. Oxid Med Cell Longev. 2022 Feb 1;2022:5635797. doi: 10.1155/2022/5635797. PMID: 35154568; PMCID: PMC8825676. | Tang Z, Hu B, Zang F, Wang J, Zhang X, Chen H. Nrf2 drives oxidative stress-induced autophagy in nucleus pulposus cells via a Keap1/Nrf2/p62 feedback loop to protect intervertebral disc from degeneration. Cell Death Dis. 2019 Jul 1;10(7):510. doi: 10.1038/s41419-019-1701-3. PMID: 31263165; PMCID: PMC6602960.</t>
  </si>
  <si>
    <t xml:space="preserve">NPMT-I213</t>
  </si>
  <si>
    <t xml:space="preserve">Xu et al., 2021, International Journal of Cardiology</t>
  </si>
  <si>
    <t xml:space="preserve">10.1016/j.ijcard.2021.08.007</t>
  </si>
  <si>
    <t xml:space="preserve">34403762</t>
  </si>
  <si>
    <t xml:space="preserve">Xu JJ, Cui J, Lin Q, Chen XY, Zhang J, Gao EH, Wei B, Zhao W. Protection of the enhanced Nrf2 deacetylation and its downstream transcriptional activity by SIRT1 in myocardial ischemia/reperfusion injury. Int J Cardiol. 2021 Nov 1;342:82-93. doi: 10.1016/j.ijcard.2021.08.007. Epub 2021 Aug 14. PMID: 34403762.</t>
  </si>
  <si>
    <t xml:space="preserve">NPMT-I214</t>
  </si>
  <si>
    <t xml:space="preserve">Rada et al., 2011, Molecular and Cellular Biology</t>
  </si>
  <si>
    <t xml:space="preserve">10.1128/mcb.01204-10</t>
  </si>
  <si>
    <t xml:space="preserve">21245377</t>
  </si>
  <si>
    <t xml:space="preserve">Rada P, Rojo AI, Chowdhry S, McMahon M, Hayes JD, Cuadrado A. SCF/{beta}-TrCP promotes glycogen synthase kinase 3-dependent degradation of the Nrf2 transcription factor in a Keap1-independent manner. Mol Cell Biol. 2011 Mar;31(6):1121-33. doi: 10.1128/MCB.01204-10. Epub 2011 Jan 18. PMID: 21245377; PMCID: PMC3067901.</t>
  </si>
  <si>
    <t xml:space="preserve">NPMT-I215</t>
  </si>
  <si>
    <t xml:space="preserve">NPMT-I216</t>
  </si>
  <si>
    <t xml:space="preserve">NPMT-I217</t>
  </si>
  <si>
    <t xml:space="preserve">Laboratory of Cell Proliferation and Ageing, Institute of Biosciences and Applications, National Centre for Scientific Research " et al., 2015, eCM</t>
  </si>
  <si>
    <t xml:space="preserve">10.22203/ecm.v030a07</t>
  </si>
  <si>
    <t xml:space="preserve">26337541</t>
  </si>
  <si>
    <t xml:space="preserve">Supported in NP — H2O2-driven oxidative stress activates p38</t>
  </si>
  <si>
    <t xml:space="preserve">Dimozi A, Mavrogonatou E, Sklirou A, Kletsas D. Oxidative stress inhibits the proliferation, induces premature senescence and promotes a catabolic phenotype in human nucleus pulposus intervertebral disc cells. Eur Cell Mater. 2015;30:89-102. doi: 10.22203/ecm.v030a07. PMID: 26337541.</t>
  </si>
  <si>
    <t xml:space="preserve">NPMT-I218</t>
  </si>
  <si>
    <t xml:space="preserve">PAK1</t>
  </si>
  <si>
    <t xml:space="preserve">Shin et al., 2013</t>
  </si>
  <si>
    <t xml:space="preserve">Shin, Yong Jae, et al. "Evidence for a novel mechanism of the PAK1 interaction with the Rho-GTPases Cdc42 and Rac." PLoS One 8.8 (2013): e71495.</t>
  </si>
  <si>
    <t xml:space="preserve">NPMT-I219</t>
  </si>
  <si>
    <t xml:space="preserve">RAC1-E</t>
  </si>
  <si>
    <t xml:space="preserve">Yi et al., 2022, Mechanisms of Ageing and Development</t>
  </si>
  <si>
    <t xml:space="preserve">10.1016/j.mad.2022.111715</t>
  </si>
  <si>
    <t xml:space="preserve">35952859</t>
  </si>
  <si>
    <t xml:space="preserve">Yi YY, Chen H, Zhang SB, Xu HW, Fang XY, Wang SJ. Exogenous Klotho ameliorates extracellular matrix degradation and angiogenesis in intervertebral disc degeneration via inhibition of the Rac1/PAK1/MMP-2 signaling axis. Mech Ageing Dev. 2022 Oct;207:111715. doi: 10.1016/j.mad.2022.111715. Epub 2022 Aug 8. PMID: 35952859.</t>
  </si>
  <si>
    <t xml:space="preserve">NPMT-I220</t>
  </si>
  <si>
    <t xml:space="preserve">RAC1-M</t>
  </si>
  <si>
    <t xml:space="preserve">NPMT-I221</t>
  </si>
  <si>
    <t xml:space="preserve">Zhang et al., 2024, Cell. Mol. Life Sci. (+1 more)</t>
  </si>
  <si>
    <t xml:space="preserve">10.1007/s00018-023-05094-y; 10.1007/s00018-025-05824-4</t>
  </si>
  <si>
    <t xml:space="preserve">38212432</t>
  </si>
  <si>
    <t xml:space="preserve">Zhang Y, Liu L, Qi Y, Lou J, Chen Y, Liu C, Li H, Chang X, Hu Z, Li Y, Zhang Y, Feng C, Zhou Y, Zhai Y, Li C. Lactic acid promotes nucleus pulposus cell senescence and corresponding intervertebral disc degeneration via interacting with Akt. Cell Mol Life Sci. 2024 Jan 12;81(1):24. doi: 10.1007/s00018-023-05094-y. Erratum in: Cell Mol Life Sci. 2025 Aug 26;82(1):319. doi: 10.1007/s00018-025-05824-4. PMID: 38212432; PMCID: PMC11071984.</t>
  </si>
  <si>
    <t xml:space="preserve">NPMT-I222</t>
  </si>
  <si>
    <t xml:space="preserve">NPMT-I223</t>
  </si>
  <si>
    <t xml:space="preserve">PGE2</t>
  </si>
  <si>
    <t xml:space="preserve">Lin, Jialiang, et al. "Luteoloside inhibition IL-1β-induced apoptosis and catabolism in nucleus pulposus cells and ameliorates intervertebral disk degeneration." Frontiers in pharmacology 10 (2019): 868.</t>
  </si>
  <si>
    <t xml:space="preserve">NPMT-I224</t>
  </si>
  <si>
    <t xml:space="preserve">PLA2</t>
  </si>
  <si>
    <t xml:space="preserve">Kuwata et al., 1998, Journal of Biological Chemistry</t>
  </si>
  <si>
    <t xml:space="preserve">10.1074/jbc.273.3.1733</t>
  </si>
  <si>
    <t xml:space="preserve">9430720</t>
  </si>
  <si>
    <t xml:space="preserve">Fibroblast</t>
  </si>
  <si>
    <t xml:space="preserve">Kuwata H, Nakatani Y, Murakami M, Kudo I. Cytosolic phospholipase A2 is required for cytokine-induced expression of type IIA secretory phospholipase A2 that mediates optimal cyclooxygenase-2-dependent delayed prostaglandin E2 generation in rat 3Y1 fibroblasts. J Biol Chem. 1998 Jan 16;273(3):1733-40. doi: 10.1074/jbc.273.3.1733. PMID: 9430720.</t>
  </si>
  <si>
    <t xml:space="preserve">NPMT-I225</t>
  </si>
  <si>
    <t xml:space="preserve">PHD2</t>
  </si>
  <si>
    <t xml:space="preserve">Fujita et al., 2012, Journal of Biological Chemistry</t>
  </si>
  <si>
    <t xml:space="preserve">10.1074/jbc.m111.334466</t>
  </si>
  <si>
    <t xml:space="preserve">22451659</t>
  </si>
  <si>
    <t xml:space="preserve">Fujita N, Markova D, Anderson DG, Chiba K, Toyama Y, Shapiro IM, Risbud MV. Expression of prolyl hydroxylases (PHDs) is selectively controlled by HIF-1 and HIF-2 proteins in nucleus pulposus cells of the intervertebral disc: distinct roles of PHD2 and PHD3 proteins in controlling HIF-1α activity in hypoxia. J Biol Chem. 2012 May 11;287(20):16975-86. doi: 10.1074/jbc.M111.334466. Epub 2012 Mar 26. PMID: 22451659; PMCID: PMC3351286.</t>
  </si>
  <si>
    <t xml:space="preserve">NPMT-I226</t>
  </si>
  <si>
    <t xml:space="preserve">PI3K-E</t>
  </si>
  <si>
    <t xml:space="preserve">Zhang et al., 2016, SPINE</t>
  </si>
  <si>
    <t xml:space="preserve">10.1097/brs.0000000000001220</t>
  </si>
  <si>
    <t xml:space="preserve">26571160</t>
  </si>
  <si>
    <t xml:space="preserve">nP</t>
  </si>
  <si>
    <t xml:space="preserve">Zhang X, Hu Z, Hao J, Shen J. Low Intensity Pulsed Ultrasound Promotes the Extracellular Matrix Synthesis of Degenerative Human Nucleus Pulposus Cells Through FAK/PI3K/Akt Pathway. Spine (Phila Pa 1976). 2016 Mar;41(5):E248-54. doi: 10.1097/BRS.0000000000001220. PMID: 26571160.</t>
  </si>
  <si>
    <t xml:space="preserve">NPMT-I227</t>
  </si>
  <si>
    <t xml:space="preserve">PI3K-M</t>
  </si>
  <si>
    <t xml:space="preserve">NPMT-I228</t>
  </si>
  <si>
    <t xml:space="preserve">HL</t>
  </si>
  <si>
    <t xml:space="preserve">Yang et al., 2018, J of Cellular Biochemistry</t>
  </si>
  <si>
    <t xml:space="preserve">10.1002/jcb.27683</t>
  </si>
  <si>
    <t xml:space="preserve">30260030</t>
  </si>
  <si>
    <t xml:space="preserve">Yang Q, Zhou Y, Wang J, Fu W, Li X. Study on the mechanism of excessive apoptosis of nucleus pulposus cells induced by shRNA-Piezo1 under abnormal mechanical stretch stress. J Cell Biochem. 2019 Mar;120(3):3989-3997. doi: 10.1002/jcb.27683. Epub 2018 Sep 27. PMID: 30260030.</t>
  </si>
  <si>
    <t xml:space="preserve">NPMT-I229</t>
  </si>
  <si>
    <t xml:space="preserve">Arenas et al., 2026, Clinical Science</t>
  </si>
  <si>
    <t xml:space="preserve">10.1042/cs20258735</t>
  </si>
  <si>
    <t xml:space="preserve">41736699</t>
  </si>
  <si>
    <t xml:space="preserve">Direct sign match, distant cell type — Hypoxia decreases PIEZO1 in HUVEC. NP transfer is speculative.</t>
  </si>
  <si>
    <t xml:space="preserve">Endothelial cells</t>
  </si>
  <si>
    <t xml:space="preserve">Human umbilical vein endothelial cells</t>
  </si>
  <si>
    <t xml:space="preserve">Arenas GA, Cochrane ALK, Peñaloza E, et al. Hypoxic development down-regulates endothelial Piezo1 via HIF1-α signaling and impairs Piezo1-mediated vasorelaxation. Clin Sci (Lond). 2026;140(4):493-507. doi: 10.1042/CS20258735. PMID: 41736699.</t>
  </si>
  <si>
    <t xml:space="preserve">NPMT-I230</t>
  </si>
  <si>
    <t xml:space="preserve">He et al., 2021, Sig Transduct Target Ther</t>
  </si>
  <si>
    <t xml:space="preserve">10.1038/s41392-021-00828-5</t>
  </si>
  <si>
    <t xml:space="preserve">He, Y., Sun, M.M., Zhang, G.G. et al. Targeting PI3K/Akt signal transduction for cancer therapy. Sig Transduct Target Ther 6, 425 (2021). https://doi.org/10.1038/s41392-021-00828-5</t>
  </si>
  <si>
    <t xml:space="preserve">NPMT-I231</t>
  </si>
  <si>
    <t xml:space="preserve">PTEN</t>
  </si>
  <si>
    <t xml:space="preserve">Maehama &amp; Dixon, 1998, Journal of Biological Chemistry</t>
  </si>
  <si>
    <t xml:space="preserve">10.1074/jbc.273.22.13375</t>
  </si>
  <si>
    <t xml:space="preserve">9593664</t>
  </si>
  <si>
    <t xml:space="preserve">Direct general pathway, compartment unresolved — PTEN directly dephosphorylates PIP3; E tag is NOT experimentally distinguished.</t>
  </si>
  <si>
    <t xml:space="preserve">Human 293 cells and purified enzyme</t>
  </si>
  <si>
    <t xml:space="preserve">In vitro / biochemical</t>
  </si>
  <si>
    <t xml:space="preserve">Maehama T, Dixon JE. The tumor suppressor, PTEN/MMAC1, dephosphorylates the lipid second messenger, phosphatidylinositol 3,4,5-trisphosphate. J Biol Chem. 1998;273(22):13375-13378. doi: 10.1074/jbc.273.22.13375. PMID: 9593664.</t>
  </si>
  <si>
    <t xml:space="preserve">NPMT-I232</t>
  </si>
  <si>
    <t xml:space="preserve">NPMT-I233</t>
  </si>
  <si>
    <t xml:space="preserve">PKC-M</t>
  </si>
  <si>
    <t xml:space="preserve">Kunkel et al., 2007, Journal of Biological Chemistry</t>
  </si>
  <si>
    <t xml:space="preserve">10.1074/jbc.m608086200</t>
  </si>
  <si>
    <t xml:space="preserve">17189263</t>
  </si>
  <si>
    <t xml:space="preserve">Kunkel MT, Toker A, Tsien RY, Newton AC. Calcium-dependent regulation of protein kinase D revealed by a genetically encoded kinase activity reporter. J Biol Chem. 2007 Mar 2;282(9):6733-42. doi: 10.1074/jbc.M608086200. Epub 2006 Dec 21. PMID: 17189263; PMCID: PMC2921767.</t>
  </si>
  <si>
    <t xml:space="preserve">NPMT-I234</t>
  </si>
  <si>
    <t xml:space="preserve">Lim et al., 2003, Journal of Biological Chemistry</t>
  </si>
  <si>
    <t xml:space="preserve">10.1074/jbc.m208300200</t>
  </si>
  <si>
    <t xml:space="preserve">12571249</t>
  </si>
  <si>
    <t xml:space="preserve">Lim ST, Longley RL, Couchman JR, Woods A. Direct binding of syndecan-4 cytoplasmic domain to the catalytic domain of protein kinase C alpha (PKC alpha) increases focal adhesion localization of PKC alpha. J Biol Chem. 2003 Apr 18;278(16):13795-802. doi: 10.1074/jbc.M208300200. Epub 2003 Feb 5. PMID: 12571249.</t>
  </si>
  <si>
    <t xml:space="preserve">NPMT-I235</t>
  </si>
  <si>
    <t xml:space="preserve">PKC-E</t>
  </si>
  <si>
    <t xml:space="preserve">NPMT-I236</t>
  </si>
  <si>
    <t xml:space="preserve">NPMT-I237</t>
  </si>
  <si>
    <t xml:space="preserve">RhoA-E</t>
  </si>
  <si>
    <t xml:space="preserve">Watanabe et al., 1996, Science</t>
  </si>
  <si>
    <t xml:space="preserve">10.1126/science.271.5249.645</t>
  </si>
  <si>
    <t xml:space="preserve">8571126</t>
  </si>
  <si>
    <t xml:space="preserve">Watanabe G, Saito Y, Madaule P, Ishizaki T, Fujisawa K, Morii N, Mukai H, Ono Y, Kakizuka A, Narumiya S. Protein kinase N (PKN) and PKN-related protein rhophilin as targets of small GTPase Rho. Science. 1996 Feb 2;271(5249):645-8. doi: 10.1126/science.271.5249.645. PMID: 8571126.</t>
  </si>
  <si>
    <t xml:space="preserve">NPMT-I238</t>
  </si>
  <si>
    <t xml:space="preserve">Gilman et al., 1990</t>
  </si>
  <si>
    <t xml:space="preserve">2254900</t>
  </si>
  <si>
    <t xml:space="preserve">Gilman SC, Chang J. Characterization of interleukin 1 induced rabbit chondrocyte phospholipase A2. J Rheumatol. 1990 Oct;17(10):1392-6. PMID: 2254900.</t>
  </si>
  <si>
    <t xml:space="preserve">NPMT-I239</t>
  </si>
  <si>
    <t xml:space="preserve">Pavicevic et al., 2008, Journal of Lipid Research</t>
  </si>
  <si>
    <t xml:space="preserve">10.1194/jlr.m700419-jlr200</t>
  </si>
  <si>
    <t xml:space="preserve">18187403</t>
  </si>
  <si>
    <t xml:space="preserve">Pavicevic Z, Leslie CC, Malik KU. cPLA2 phosphorylation at serine-515 and serine-505 is required for arachidonic acid release in vascular smooth muscle cells. J Lipid Res. 2008 Apr;49(4):724-37. doi: 10.1194/jlr.M700419-JLR200. Epub 2008 Jan 9. PMID: 18187403.</t>
  </si>
  <si>
    <t xml:space="preserve">NPMT-I240</t>
  </si>
  <si>
    <t xml:space="preserve">NPMT-I241</t>
  </si>
  <si>
    <t xml:space="preserve">Kramer et al., 1996, Journal of Biological Chemistry</t>
  </si>
  <si>
    <t xml:space="preserve">10.1074/jbc.271.44.27723</t>
  </si>
  <si>
    <t xml:space="preserve">8910365</t>
  </si>
  <si>
    <t xml:space="preserve">Kramer RM, Roberts EF, Um SL, Börsch-Haubold AG, Watson SP, Fisher MJ, Jakubowski JA. p38 mitogen-activated protein kinase phosphorylates cytosolic phospholipase A2 (cPLA2) in thrombin-stimulated platelets. Evidence that proline-directed phosphorylation is not required for mobilization of arachidonic acid by cPLA2. J Biol Chem. 1996 Nov 1;271(44):27723-9. doi: 10.1074/jbc.271.44.27723. PMID: 8910365.</t>
  </si>
  <si>
    <t xml:space="preserve">NPMT-I242</t>
  </si>
  <si>
    <t xml:space="preserve">Falasca et al., 1998, EMBO J</t>
  </si>
  <si>
    <t xml:space="preserve">10.1093/emboj/17.2.414</t>
  </si>
  <si>
    <t xml:space="preserve">9430633</t>
  </si>
  <si>
    <t xml:space="preserve">Falasca M, Logan SK, Lehto VP, Baccante G, Lemmon MA, Schlessinger J. Activation of phospholipase C gamma by PI 3-kinase-induced PH domain-mediated membrane targeting. EMBO J. 1998 Jan 15;17(2):414-22. doi: 10.1093/emboj/17.2.414. PMID: 9430633; PMCID: PMC1170392.</t>
  </si>
  <si>
    <t xml:space="preserve">NPMT-I243</t>
  </si>
  <si>
    <t xml:space="preserve">NPMT-I244</t>
  </si>
  <si>
    <t xml:space="preserve">Chen &amp; Exton, 2004, Journal of Biological Chemistry</t>
  </si>
  <si>
    <t xml:space="preserve">10.1074/jbc.m311033200</t>
  </si>
  <si>
    <t xml:space="preserve">15031293</t>
  </si>
  <si>
    <t xml:space="preserve">Monkey</t>
  </si>
  <si>
    <t xml:space="preserve">Chen JS, Exton JH. Regulation of phospholipase D2 activity by protein kinase C alpha. J Biol Chem. 2004 May 21;279(21):22076-83. doi: 10.1074/jbc.M311033200. Epub 2004 Mar 18. PMID: 15031293.</t>
  </si>
  <si>
    <t xml:space="preserve">NPMT-I245</t>
  </si>
  <si>
    <t xml:space="preserve">NPMT-I246</t>
  </si>
  <si>
    <t xml:space="preserve">Hiroyama &amp; Exton, 2005, J of Cellular Biochemistry</t>
  </si>
  <si>
    <t xml:space="preserve">10.1002/jcb.20351</t>
  </si>
  <si>
    <t xml:space="preserve">15759270</t>
  </si>
  <si>
    <t xml:space="preserve">Supported in other cells — Activated Rac1 stimulates phospholipase D isozymes including PLD2; E compartment untested</t>
  </si>
  <si>
    <t xml:space="preserve">Mammalian cell PLD isoform model</t>
  </si>
  <si>
    <t xml:space="preserve">Hiroyama M, Exton JH. Localization and regulation of phospholipase D2 by ARF6. J Cell Biochem. 2005;95(1):149-164. doi: 10.1002/jcb.20351. PMID: 15759270.</t>
  </si>
  <si>
    <t xml:space="preserve">NPMT-I247</t>
  </si>
  <si>
    <t xml:space="preserve">Supported in other cells — Activated Rac1 stimulates phospholipase D isozymes including PLD2; M compartment untested</t>
  </si>
  <si>
    <t xml:space="preserve">NPMT-I248</t>
  </si>
  <si>
    <t xml:space="preserve">Tsukahara et al., 2010, Molecular Cell</t>
  </si>
  <si>
    <t xml:space="preserve">10.1016/j.molcel.2010.07.022</t>
  </si>
  <si>
    <t xml:space="preserve">20705243</t>
  </si>
  <si>
    <t xml:space="preserve">Tsukahara T, Tsukahara R, Fujiwara Y, Yue J, Cheng Y, Guo H, Bolen A, Zhang C, Balazs L, Re F, Du G, Frohman MA, Baker DL, Parrill AL, Uchiyama A, Kobayashi T, Murakami-Murofushi K, Tigyi G. Phospholipase D2-dependent inhibition of the nuclear hormone receptor PPARgamma by cyclic phosphatidic acid. Mol Cell. 2010 Aug 13;39(3):421-32. doi: 10.1016/j.molcel.2010.07.022. PMID: 20705243; PMCID: PMC3446787.</t>
  </si>
  <si>
    <t xml:space="preserve">NPMT-I249</t>
  </si>
  <si>
    <t xml:space="preserve">Zhao et al., 2023, J Nanobiotechnol</t>
  </si>
  <si>
    <t xml:space="preserve">10.1186/s12951-023-02075-y</t>
  </si>
  <si>
    <t xml:space="preserve">37667246</t>
  </si>
  <si>
    <t xml:space="preserve">Zhao X, Sun Z, Xu B, Duan W, Chang L, Lai K, Ye Z. Degenerated nucleus pulposus cells derived exosome carrying miR-27a-3p aggravates intervertebral disc degeneration by inducing M1 polarization of macrophages. J Nanobiotechnology. 2023 Sep 4;21(1):317. doi: 10.1186/s12951-023-02075-y. PMID: 37667246; PMCID: PMC10478255.</t>
  </si>
  <si>
    <t xml:space="preserve">NPMT-I250</t>
  </si>
  <si>
    <t xml:space="preserve">NPMT-I251</t>
  </si>
  <si>
    <t xml:space="preserve">Cho et al., 2010, American Journal of Respiratory and Critical Care Medicine</t>
  </si>
  <si>
    <t xml:space="preserve">10.1164/rccm.200907-1047oc</t>
  </si>
  <si>
    <t xml:space="preserve">20224069</t>
  </si>
  <si>
    <t xml:space="preserve">Cho HY, Gladwell W, Wang X, Chorley B, Bell D, Reddy SP, Kleeberger SR. Nrf2-regulated PPAR{gamma} expression is critical to protection against acute lung injury in mice. Am J Respir Crit Care Med. 2010 Jul 15;182(2):170-82. doi: 10.1164/rccm.200907-1047OC. Epub 2010 Mar 11. PMID: 20224069; PMCID: PMC2913232.</t>
  </si>
  <si>
    <t xml:space="preserve">NPMT-I252</t>
  </si>
  <si>
    <t xml:space="preserve">François et al., 2004</t>
  </si>
  <si>
    <t xml:space="preserve">François, M., Richette, P., Tsagris, L., Raymondjean, M., Fulchignoni-Lataud, M. C., Forest, C., ... &amp; Corvol, M. T. (2004). Peroxisome proliferator-activated receptor-γ down-regulates chondrocyte matrix metalloproteinase-1 via a novel composite element. Journal of Biological Chemistry, 279(27), 28411-28418.</t>
  </si>
  <si>
    <t xml:space="preserve">NPMT-I253</t>
  </si>
  <si>
    <t xml:space="preserve">Afif et al., 2007, Arthritis Res Ther</t>
  </si>
  <si>
    <t xml:space="preserve">10.1186/ar2151</t>
  </si>
  <si>
    <t xml:space="preserve">Afif, H., Benderdour, M., Mfuna-Endam, L. et al. Peroxisome proliferator-activated receptor γ1 expression is diminished in human osteoarthritic cartilage and is downregulated by interleukin-1β in articular chondrocytes . Arthritis Res Ther 9, R31 (2007). https://doi.org/10.1186/ar2151</t>
  </si>
  <si>
    <t xml:space="preserve">NPMT-I254</t>
  </si>
  <si>
    <t xml:space="preserve">Hawse et al., 2015, The Journal of Immunology</t>
  </si>
  <si>
    <t xml:space="preserve">10.4049/jimmunol.1402554</t>
  </si>
  <si>
    <t xml:space="preserve">25855357</t>
  </si>
  <si>
    <t xml:space="preserve">Hawse WF, Sheehan RP, Miskov-Zivanov N, Menk AV, Kane LP, Faeder JR, Morel PA. Cutting Edge: Differential Regulation of PTEN by TCR, Akt, and FoxO1 Controls CD4+ T Cell Fate Decisions. J Immunol. 2015 May 15;194(10):4615-9. doi: 10.4049/jimmunol.1402554. Epub 2015 Apr 8. PMID: 25855357; PMCID: PMC4418530.</t>
  </si>
  <si>
    <t xml:space="preserve">NPMT-I255</t>
  </si>
  <si>
    <t xml:space="preserve">Patel et al., 2001, Current Biology</t>
  </si>
  <si>
    <t xml:space="preserve">10.1016/s0960-9822(01)00225-1</t>
  </si>
  <si>
    <t xml:space="preserve">11378386</t>
  </si>
  <si>
    <t xml:space="preserve">Supported in other cells — PPARγ ligand-mediated PTEN induction; no NP/chondrocyte demonstration</t>
  </si>
  <si>
    <t xml:space="preserve">Human macrophages; Caco2; MCF7</t>
  </si>
  <si>
    <t xml:space="preserve">Patel L, Pass I, Coxon P, Downes CP, Smith SA, Macphee CH. Tumor suppressor and anti-inflammatory actions of PPARgamma agonists are mediated via upregulation of PTEN. Curr Biol. 2001;11(10):764-768. doi: 10.1016/S0960-9822(01)00225-1. PMID: 11378386.</t>
  </si>
  <si>
    <t xml:space="preserve">NPMT-I256</t>
  </si>
  <si>
    <t xml:space="preserve">Chae &amp; Broxmeyer, 2011, Stem Cells and Development</t>
  </si>
  <si>
    <t xml:space="preserve">10.1089/scd.2010.0465</t>
  </si>
  <si>
    <t xml:space="preserve">21083429</t>
  </si>
  <si>
    <t xml:space="preserve">Chae HD, Broxmeyer HE. SIRT1 deficiency downregulates PTEN/JNK/FOXO1 pathway to block reactive oxygen species-induced apoptosis in mouse embryonic stem cells. Stem Cells Dev. 2011 Jul;20(7):1277-85. doi: 10.1089/scd.2010.0465. Epub 2011 Jan 3. PMID: 21083429; PMCID: PMC3121936.</t>
  </si>
  <si>
    <t xml:space="preserve">NPMT-I257</t>
  </si>
  <si>
    <t xml:space="preserve">Chang et al., 2007, MBoC</t>
  </si>
  <si>
    <t xml:space="preserve">10.1091/mbc.e06-03-0207</t>
  </si>
  <si>
    <t xml:space="preserve">17093062</t>
  </si>
  <si>
    <t xml:space="preserve">Chang F, Lemmon CA, Park D, Romer LH. FAK potentiates Rac1 activation and localization to matrix adhesion sites: a role for betaPIX. Mol Biol Cell. 2007 Jan;18(1):253-64. doi: 10.1091/mbc.e06-03-0207. Epub 2006 Nov 8. PMID: 17093062; PMCID: PMC1751318.</t>
  </si>
  <si>
    <t xml:space="preserve">NPMT-I258</t>
  </si>
  <si>
    <t xml:space="preserve">Paradiso et al., 2004, Breast Cancer Res</t>
  </si>
  <si>
    <t xml:space="preserve">10.1186/bcr922</t>
  </si>
  <si>
    <t xml:space="preserve">15535843</t>
  </si>
  <si>
    <t xml:space="preserve">contextual / conflicting, NOT sign-validated — Reciprocal RhoA-RAC1 signaling; specific E→M inhibition not demonstrated.</t>
  </si>
  <si>
    <t xml:space="preserve">MDA-MB-435 cells</t>
  </si>
  <si>
    <t xml:space="preserve">Paradiso A, Cardone RA, Bellizzi A, et al. The Na+-H+ exchanger-1 induces cytoskeletal changes involving reciprocal RhoA and Rac1 signaling, resulting in motility and invasion in MDA-MB-435 cells. Breast Cancer Res. 2004;6(6):R616-R628. doi: 10.1186/bcr922. PMID: 15535843. | [Evidence caveat: Reciprocal RhoA-RAC1 signaling; specific E→M inhibition not demonstrated.]</t>
  </si>
  <si>
    <t xml:space="preserve">NPMT-I259</t>
  </si>
  <si>
    <t xml:space="preserve">NPMT-I260</t>
  </si>
  <si>
    <t xml:space="preserve">RhoA-M</t>
  </si>
  <si>
    <t xml:space="preserve">contextual / conflicting, NOT sign-validated — Reciprocal RhoA-RAC1 signaling; specific M→E inhibition not demonstrated.</t>
  </si>
  <si>
    <t xml:space="preserve">Paradiso A, Cardone RA, Bellizzi A, et al. The Na+-H+ exchanger-1 induces cytoskeletal changes involving reciprocal RhoA and Rac1 signaling, resulting in motility and invasion in MDA-MB-435 cells. Breast Cancer Res. 2004;6(6):R616-R628. doi: 10.1186/bcr922. PMID: 15535843. | [Evidence caveat: Reciprocal RhoA-RAC1 signaling; specific M→E inhibition not demonstrated.]</t>
  </si>
  <si>
    <t xml:space="preserve">NPMT-I261</t>
  </si>
  <si>
    <t xml:space="preserve">RAS-E</t>
  </si>
  <si>
    <t xml:space="preserve">NPMT-I262</t>
  </si>
  <si>
    <t xml:space="preserve">RAS-M</t>
  </si>
  <si>
    <t xml:space="preserve">NPMT-I263</t>
  </si>
  <si>
    <t xml:space="preserve">Schlaepfer et al., 1994, Nature</t>
  </si>
  <si>
    <t xml:space="preserve">10.1038/372786a0</t>
  </si>
  <si>
    <t xml:space="preserve">Schlaepfer, D., Hanks, S., Hunter, T. et al. Integrin-mediated signal transduction linked to Ras pathway by GRB2 binding to focal adhesion kinase. Nature 372, 786–791 (1994). https://doi.org/10.1038/372786a0</t>
  </si>
  <si>
    <t xml:space="preserve">NPMT-I264</t>
  </si>
  <si>
    <t xml:space="preserve">NPMT-I265</t>
  </si>
  <si>
    <t xml:space="preserve">Lin et al., 2024</t>
  </si>
  <si>
    <t xml:space="preserve">Lin, X., Liu, H., Qiao, L., Deng, H., Bao, M., Yang, Z., ... &amp; Han, J. (2024). Chondrocyte autophagy mediated by T-2 toxin via AKT/TSC/Rheb/mTOR signaling pathway and protective effect of CSA-SeNP. Osteoarthritis and cartilage, 32(10), 1283-1294.</t>
  </si>
  <si>
    <t xml:space="preserve">NPMT-I266</t>
  </si>
  <si>
    <t xml:space="preserve">NPMT-I267</t>
  </si>
  <si>
    <t xml:space="preserve">NPMT-I268</t>
  </si>
  <si>
    <t xml:space="preserve">Lv et al., 2022</t>
  </si>
  <si>
    <t xml:space="preserve">Lv, S., Wang, X., Jin, S., Shen, S., Wang, R., &amp; Tong, P. (2022). Quercetin mediates TSC2-RHEB-mTOR pathway to regulate chondrocytes autophagy in knee osteoarthritis. Gene, 820, 146209.</t>
  </si>
  <si>
    <t xml:space="preserve">NPMT-I269</t>
  </si>
  <si>
    <t xml:space="preserve">Inoki et al., 2006, Cell</t>
  </si>
  <si>
    <t xml:space="preserve">10.1016/j.cell.2006.06.055</t>
  </si>
  <si>
    <t xml:space="preserve">16959574</t>
  </si>
  <si>
    <t xml:space="preserve">Inoki K, Ouyang H, Zhu T, Lindvall C, Wang Y, Zhang X, Yang Q, Bennett C, Harada Y, Stankunas K, Wang CY, He X, MacDougald OA, You M, Williams BO, Guan KL. TSC2 integrates Wnt and energy signals via a coordinated phosphorylation by AMPK and GSK3 to regulate cell growth. Cell. 2006 Sep 8;126(5):955-68. doi: 10.1016/j.cell.2006.06.055. PMID: 16959574.</t>
  </si>
  <si>
    <t xml:space="preserve">NPMT-I270</t>
  </si>
  <si>
    <t xml:space="preserve">Tomar &amp; Schlaepfer, 2009, Current Opinion in Cell Biology</t>
  </si>
  <si>
    <t xml:space="preserve">10.1016/j.ceb.2009.05.006</t>
  </si>
  <si>
    <t xml:space="preserve">19525103</t>
  </si>
  <si>
    <t xml:space="preserve">Tomar A, Schlaepfer DD. Focal adhesion kinase: switching between GAPs and GEFs in the regulation of cell motility. Curr Opin Cell Biol. 2009 Oct;21(5):676-83. doi: 10.1016/j.ceb.2009.05.006. Epub 2009 Jun 12. PMID: 19525103; PMCID: PMC2754589.</t>
  </si>
  <si>
    <t xml:space="preserve">NPMT-I271</t>
  </si>
  <si>
    <t xml:space="preserve">NPMT-I272</t>
  </si>
  <si>
    <t xml:space="preserve">Ding et al., 2021, Exp Mol Med</t>
  </si>
  <si>
    <t xml:space="preserve">10.1038/s12276-021-00716-6</t>
  </si>
  <si>
    <t xml:space="preserve">Ding, SL., Zhang, TW., Zhang, QC. et al. Excessive mechanical strain accelerates intervertebral disc degeneration by disrupting intrinsic circadian rhythm. Exp Mol Med 53, 1911–1923 (2021). https://doi.org/10.1038/s12276-021-00716-6</t>
  </si>
  <si>
    <t xml:space="preserve">NPMT-I273</t>
  </si>
  <si>
    <t xml:space="preserve">NPMT-I274</t>
  </si>
  <si>
    <t xml:space="preserve">Adam-Vizi &amp; Starkov, 2010, JAD</t>
  </si>
  <si>
    <t xml:space="preserve">10.3233/jad-2010-100465</t>
  </si>
  <si>
    <t xml:space="preserve">20421693</t>
  </si>
  <si>
    <t xml:space="preserve">Adam-Vizi V, Starkov AA. Calcium and mitochondrial reactive oxygen species generation: how to read the facts. J Alzheimers Dis. 2010;20 Suppl 2(Suppl 2):S413-26. doi: 10.3233/JAD-2010-100465. PMID: 20421693; PMCID: PMC3056350.</t>
  </si>
  <si>
    <t xml:space="preserve">NPMT-I275</t>
  </si>
  <si>
    <t xml:space="preserve">Li et al., 2026, Cellular Signalling</t>
  </si>
  <si>
    <t xml:space="preserve">10.1016/j.cellsig.2026.112769</t>
  </si>
  <si>
    <t xml:space="preserve">42526698</t>
  </si>
  <si>
    <t xml:space="preserve">Supported in NP — DRP1 upregulation / mitochondrial fission promotes ROS accumulation</t>
  </si>
  <si>
    <t xml:space="preserve">In vitro; in vivo corroboration</t>
  </si>
  <si>
    <t xml:space="preserve">Li P, Que Y, Zhang S, Zhang G, Tang R, Jia H, Zhao Y, Liu H, Wang Y, Liu Y. Inhibition of ETS1/DRP1 axis attenuates intervertebral disc degeneration by suppressing excessive mitochondrial fission. Cell Signal. 2026;148:112769. Published online July 29, 2026. doi: 10.1016/j.cellsig.2026.112769. PMID: 42526698.</t>
  </si>
  <si>
    <t xml:space="preserve">NPMT-I276</t>
  </si>
  <si>
    <t xml:space="preserve">Tlili et al., 2023, Proc. Natl. Acad. Sci. U.S.A.</t>
  </si>
  <si>
    <t xml:space="preserve">10.1073/pnas.2209184120</t>
  </si>
  <si>
    <t xml:space="preserve">36626553</t>
  </si>
  <si>
    <t xml:space="preserve">Tlili A, Pintard C, Hurtado-Nedelec M, Liu D, Marzaioli V, Thieblemont N, Dang PM, El-Benna J. ROCK2 interacts with p22phox to phosphorylate p47phox and to control NADPH oxidase activation in human monocytes. Proc Natl Acad Sci U S A. 2023 Jan 17;120(3):e2209184120. doi: 10.1073/pnas.2209184120. Epub 2023 Jan 10. PMID: 36626553; PMCID: PMC9934299.</t>
  </si>
  <si>
    <t xml:space="preserve">NPMT-I277</t>
  </si>
  <si>
    <t xml:space="preserve">SOD1</t>
  </si>
  <si>
    <t xml:space="preserve">Zhou et al., 2022, Advanced Science</t>
  </si>
  <si>
    <t xml:space="preserve">10.1002/advs.202105466</t>
  </si>
  <si>
    <t xml:space="preserve">35128840</t>
  </si>
  <si>
    <t xml:space="preserve">Supported in NP — Stabilization of SOD1 improves ROS detoxification and attenuates oxidative injury</t>
  </si>
  <si>
    <t xml:space="preserve">Rat NP cells and disc model</t>
  </si>
  <si>
    <t xml:space="preserve">In vitro and in vivo</t>
  </si>
  <si>
    <t xml:space="preserve">Zhou T, Yang X, Chen Z, Yang Y, Wang X, Cao X, Chen C, Han C, Tian H, Qin A, Fu J, Zhao J. Prussian Blue Nanoparticles Stabilize SOD1 from Ubiquitination-Proteasome Degradation to Rescue Intervertebral Disc Degeneration. Adv Sci (Weinh). 2022;9(10):e2105466. doi: 10.1002/advs.202105466. PMID: 35128840.</t>
  </si>
  <si>
    <t xml:space="preserve">NPMT-I278</t>
  </si>
  <si>
    <t xml:space="preserve">Lin et al., 2019, IJMS</t>
  </si>
  <si>
    <t xml:space="preserve">10.3390/ijms20040972</t>
  </si>
  <si>
    <t xml:space="preserve">30813401</t>
  </si>
  <si>
    <t xml:space="preserve">Lin L, White SA, Hu K. Role of p90RSK in Kidney and Other Diseases. Int J Mol Sci. 2019 Feb 23;20(4):972. doi: 10.3390/ijms20040972. PMID: 30813401; PMCID: PMC6412535.</t>
  </si>
  <si>
    <t xml:space="preserve">NPMT-I279</t>
  </si>
  <si>
    <t xml:space="preserve">Pérez‐García et al., 2019</t>
  </si>
  <si>
    <t xml:space="preserve">Pérez‐García, Selene, et al. "Wnt and RUNX2 mediate cartilage breakdown by osteoarthritis synovial fibroblast‐derived ADAMTS‐7 and‐12." Journal of cellular and molecular medicine 23.6 (2019): 3974-3983.</t>
  </si>
  <si>
    <t xml:space="preserve">NPMT-I280</t>
  </si>
  <si>
    <t xml:space="preserve">Ge et al., 2011, Journal of Bone and Mineral Research (+1 more)</t>
  </si>
  <si>
    <t xml:space="preserve">10.1002/jbmr.561; 10.1002/jbmr.4300</t>
  </si>
  <si>
    <t xml:space="preserve">22072425</t>
  </si>
  <si>
    <t xml:space="preserve">Ge C, Yang Q, Zhao G, Yu H, Kirkwood KL, Franceschi RT. Interactions between extracellular signal-regulated kinase 1/2 and p38 MAP kinase pathways in the control of RUNX2 phosphorylation and transcriptional activity. J Bone Miner Res. 2012 Mar;27(3):538-51. doi: 10.1002/jbmr.561. Erratum in: J Bone Miner Res. 2021 Oct;36(10):2096-2097. doi: 10.1002/jbmr.4300. PMID: 22072425; PMCID: PMC4285380.</t>
  </si>
  <si>
    <t xml:space="preserve">NPMT-I281</t>
  </si>
  <si>
    <t xml:space="preserve">NPMT-I282</t>
  </si>
  <si>
    <t xml:space="preserve">Cheng &amp; Genever, 2010, Journal of Bone and Mineral Research</t>
  </si>
  <si>
    <t xml:space="preserve">10.1002/jbmr.174</t>
  </si>
  <si>
    <t xml:space="preserve">20593410</t>
  </si>
  <si>
    <t xml:space="preserve">Cheng A, Genever PG. SOX9 determines RUNX2 transactivity by directing intracellular degradation. J Bone Miner Res. 2010 Dec;25(12):2680-9. doi: 10.1002/jbmr.174. Epub 2010 Jun 30. Erratum in: J Bone Miner Res. 2011 Feb;26(2):439. PMID: 20593410.</t>
  </si>
  <si>
    <t xml:space="preserve">NPMT-I283</t>
  </si>
  <si>
    <t xml:space="preserve">NAD+</t>
  </si>
  <si>
    <t xml:space="preserve">Shi et al., 2022, Exp Ther Med</t>
  </si>
  <si>
    <t xml:space="preserve">10.3892/etm.2022.11193</t>
  </si>
  <si>
    <t xml:space="preserve">35251333</t>
  </si>
  <si>
    <t xml:space="preserve">Shi Q, Xu L, Zeng X. Sirtuin 1 participates in intervertebral disc degeneration via the nicotinamide phosphoribosyl transferase/nicotinamide adenine dinucleotide/sirtuin 1 pathway responsible for regulating autophagy of nucleus pulposus cells. Exp Ther Med. 2022 Apr;23(4):267. doi: 10.3892/etm.2022.11193. Epub 2022 Feb 8. PMID: 35251333; PMCID: PMC8892612.</t>
  </si>
  <si>
    <t xml:space="preserve">NPMT-I284</t>
  </si>
  <si>
    <t xml:space="preserve">SMIT1</t>
  </si>
  <si>
    <t xml:space="preserve">NPMT-I285</t>
  </si>
  <si>
    <t xml:space="preserve">NPMT-I286</t>
  </si>
  <si>
    <t xml:space="preserve">SOD2</t>
  </si>
  <si>
    <t xml:space="preserve">Alvarez-Garcia et al., 2017, Journal Orthopaedic Research</t>
  </si>
  <si>
    <t xml:space="preserve">10.1002/jor.23583</t>
  </si>
  <si>
    <t xml:space="preserve">28430387</t>
  </si>
  <si>
    <t xml:space="preserve">human/mouse</t>
  </si>
  <si>
    <t xml:space="preserve">Alvarez-Garcia O, Matsuzaki T, Olmer M, Masuda K, Lotz MK. Age-related reduction in the expression of FOXO transcription factors and correlations with intervertebral disc degeneration. J Orthop Res. 2017 Dec;35(12):2682-2691. doi: 10.1002/jor.23583. Epub 2017 May 4. PMID: 28430387; PMCID: PMC5650945.</t>
  </si>
  <si>
    <t xml:space="preserve">NPMT-I287</t>
  </si>
  <si>
    <t xml:space="preserve">NPMT-I288</t>
  </si>
  <si>
    <t xml:space="preserve">Smits et al., 2004, The Journal of Cell Biology</t>
  </si>
  <si>
    <t xml:space="preserve">10.1083/jcb.200312045</t>
  </si>
  <si>
    <t xml:space="preserve">14993235</t>
  </si>
  <si>
    <t xml:space="preserve">Smits P, Dy P, Mitra S, Lefebvre V. Sox5 and Sox6 are needed to develop and maintain source, columnar, and hypertrophic chondrocytes in the cartilage growth plate. J Cell Biol. 2004 Mar 1;164(5):747-58. doi: 10.1083/jcb.200312045. PMID: 14993235; PMCID: PMC2172159.</t>
  </si>
  <si>
    <t xml:space="preserve">NPMT-I289</t>
  </si>
  <si>
    <t xml:space="preserve">NPMT-I290</t>
  </si>
  <si>
    <t xml:space="preserve">NPMT-I291</t>
  </si>
  <si>
    <t xml:space="preserve">Juhász et al., 2014, Cellular Signalling</t>
  </si>
  <si>
    <t xml:space="preserve">10.1016/j.cellsig.2013.12.001</t>
  </si>
  <si>
    <t xml:space="preserve">24333667</t>
  </si>
  <si>
    <t xml:space="preserve">Chondroprogenitor</t>
  </si>
  <si>
    <t xml:space="preserve">Chicken</t>
  </si>
  <si>
    <t xml:space="preserve">Juhász T, Matta C, Somogyi C, Katona É, Takács R, Soha RF, Szabó IA, Cserháti C, Sződy R, Karácsonyi Z, Bakó E, Gergely P, Zákány R. Mechanical loading stimulates chondrogenesis via the PKA/CREB-Sox9 and PP2A pathways in chicken micromass cultures. Cell Signal. 2014 Mar;26(3):468-82. doi: 10.1016/j.cellsig.2013.12.001. Epub 2013 Dec 12. PMID: 24333667.</t>
  </si>
  <si>
    <t xml:space="preserve">NPMT-I292</t>
  </si>
  <si>
    <t xml:space="preserve">Kim et al., 2021, IJMS</t>
  </si>
  <si>
    <t xml:space="preserve">10.3390/ijms222111355</t>
  </si>
  <si>
    <t xml:space="preserve">34768786</t>
  </si>
  <si>
    <t xml:space="preserve">Kim JW, An HJ, Yeo H, Jeong Y, Lee H, Lee J, Nam K, Lee J, Shin DE, Lee S. Activation of Hypoxia-Inducible Factor-1α Signaling Pathway Has the Protective Effect of Intervertebral Disc Degeneration. Int J Mol Sci. 2021 Oct 21;22(21):11355. doi: 10.3390/ijms222111355. PMID: 34768786; PMCID: PMC8583205.</t>
  </si>
  <si>
    <t xml:space="preserve">NPMT-I293</t>
  </si>
  <si>
    <t xml:space="preserve">Haudenschild et al., 2009, Arthritis &amp; Rheumatism</t>
  </si>
  <si>
    <t xml:space="preserve">10.1002/art.25051</t>
  </si>
  <si>
    <t xml:space="preserve">20039424</t>
  </si>
  <si>
    <t xml:space="preserve">Haudenschild DR, Chen J, Pang N, Lotz MK, D'Lima DD. Rho kinase-dependent activation of SOX9 in chondrocytes. Arthritis Rheum. 2010 Jan;62(1):191-200. doi: 10.1002/art.25051. PMID: 20039424; PMCID: PMC2935318.</t>
  </si>
  <si>
    <t xml:space="preserve">NPMT-I294</t>
  </si>
  <si>
    <t xml:space="preserve">NPMT-I295</t>
  </si>
  <si>
    <t xml:space="preserve">Kang L et al., 2017</t>
  </si>
  <si>
    <t xml:space="preserve">Kang L., Yang C., Song Y., Zhao K., Liu W., Hua W., Wang K., Tu J., Li S., Yin H., Zhang Y. MicroRNA-494 promotes apoptosis and extracellular matrix degradation in degenerative human nucleus pulposus cells. Oncotarget. 2017; 8: 27868-27881. Retrieved from https://www.oncotarget.com/article/15838/</t>
  </si>
  <si>
    <t xml:space="preserve">NPMT-I296</t>
  </si>
  <si>
    <t xml:space="preserve">Bradley &amp; Drissi, 2010, Molecular Endocrinology</t>
  </si>
  <si>
    <t xml:space="preserve">10.1210/me.2010-0037</t>
  </si>
  <si>
    <t xml:space="preserve">20573686</t>
  </si>
  <si>
    <t xml:space="preserve">Bradley EW, Drissi MH. WNT5A regulates chondrocyte differentiation through differential use of the CaN/NFAT and IKK/NF-kappaB pathways. Mol Endocrinol. 2010 Aug;24(8):1581-93. doi: 10.1210/me.2010-0037. Epub 2010 Jun 23. PMID: 20573686; PMCID: PMC5417459.</t>
  </si>
  <si>
    <t xml:space="preserve">NPMT-I297</t>
  </si>
  <si>
    <t xml:space="preserve">Tew &amp; Hardingham, 2006, Journal of Biological Chemistry</t>
  </si>
  <si>
    <t xml:space="preserve">10.1074/jbc.m604322200</t>
  </si>
  <si>
    <t xml:space="preserve">17050539</t>
  </si>
  <si>
    <t xml:space="preserve">Tew SR, Hardingham TE. Regulation of SOX9 mRNA in human articular chondrocytes involving p38 MAPK activation and mRNA stabilization. J Biol Chem. 2006 Dec 22;281(51):39471-9. doi: 10.1074/jbc.M604322200. Epub 2006 Oct 18. PMID: 17050539.</t>
  </si>
  <si>
    <t xml:space="preserve">NPMT-I298</t>
  </si>
  <si>
    <t xml:space="preserve">Ishitani et al., 2003, Molecular and Cellular Biology</t>
  </si>
  <si>
    <t xml:space="preserve">10.1128/mcb.23.1.131-139.2003</t>
  </si>
  <si>
    <t xml:space="preserve">12482967</t>
  </si>
  <si>
    <t xml:space="preserve">Ishitani T, Kishida S, Hyodo-Miura J, Ueno N, Yasuda J, Waterman M, Shibuya H, Moon RT, Ninomiya-Tsuji J, Matsumoto K. The TAK1-NLK mitogen-activated protein kinase cascade functions in the Wnt-5a/Ca(2+) pathway to antagonize Wnt/beta-catenin signaling. Mol Cell Biol. 2003 Jan;23(1):131-9. doi: 10.1128/MCB.23.1.131-139.2003. PMID: 12482967; PMCID: PMC140665.</t>
  </si>
  <si>
    <t xml:space="preserve">NPMT-I299</t>
  </si>
  <si>
    <t xml:space="preserve">Onodera et al., 2015, FEBS Open Bio</t>
  </si>
  <si>
    <t xml:space="preserve">10.1016/j.fob.2015.06.001</t>
  </si>
  <si>
    <t xml:space="preserve">26110105</t>
  </si>
  <si>
    <t xml:space="preserve">synovial fibroblast</t>
  </si>
  <si>
    <t xml:space="preserve">calves</t>
  </si>
  <si>
    <t xml:space="preserve">Onodera Y, Teramura T, Takehara T, Shigi K, Fukuda K. Reactive oxygen species induce Cox-2 expression via TAK1 activation in synovial fibroblast cells. FEBS Open Bio. 2015 Jun 6;5:492-501. doi: 10.1016/j.fob.2015.06.001. PMID: 26110105; PMCID: PMC4476901.</t>
  </si>
  <si>
    <t xml:space="preserve">NPMT-I300</t>
  </si>
  <si>
    <t xml:space="preserve">TAUT</t>
  </si>
  <si>
    <t xml:space="preserve">NPMT-I301</t>
  </si>
  <si>
    <t xml:space="preserve">TGFβ</t>
  </si>
  <si>
    <t xml:space="preserve">Oh et al., 2016, SPINE</t>
  </si>
  <si>
    <t xml:space="preserve">10.1097/brs.0000000000001235</t>
  </si>
  <si>
    <t xml:space="preserve">26693672</t>
  </si>
  <si>
    <t xml:space="preserve">Oh CD, Im HJ, Suh J, Chee A, An H, Chen D. Rho-Associated Kinase Inhibitor Immortalizes Rat Nucleus Pulposus and Annulus Fibrosus Cells: Establishment of Intervertebral Disc Cell Lines With Novel Approaches. Spine (Phila Pa 1976). 2016 Mar;41(5):E255-61. doi: 10.1097/BRS.0000000000001235. PMID: 26693672; PMCID: PMC4769661.</t>
  </si>
  <si>
    <t xml:space="preserve">NPMT-I302</t>
  </si>
  <si>
    <t xml:space="preserve">NPMT-I303</t>
  </si>
  <si>
    <t xml:space="preserve">Sarrazy et al., 2014, Cardiovascular Research</t>
  </si>
  <si>
    <t xml:space="preserve">10.1093/cvr/cvu053</t>
  </si>
  <si>
    <t xml:space="preserve">24639195</t>
  </si>
  <si>
    <t xml:space="preserve">Sarrazy V, Koehler A, Chow ML, Zimina E, Li CX, Kato H, Caldarone CA, Hinz B. Integrins αvβ5 and αvβ3 promote latent TGF-β1 activation by human cardiac fibroblast contraction. Cardiovasc Res. 2014 Jun 1;102(3):407-17. doi: 10.1093/cvr/cvu053. Epub 2014 Mar 17. PMID: 24639195; PMCID: PMC4030512.</t>
  </si>
  <si>
    <t xml:space="preserve">NPMT-I304</t>
  </si>
  <si>
    <t xml:space="preserve">TIMP3</t>
  </si>
  <si>
    <t xml:space="preserve">Yu et al., 2018, ATVB</t>
  </si>
  <si>
    <t xml:space="preserve">10.1161/atvbaha.117.310502</t>
  </si>
  <si>
    <t xml:space="preserve">Opposite direction — FOXO3a activation downregulated TIMP3 (reported ~27-fold): contradicts network positive sign.</t>
  </si>
  <si>
    <t xml:space="preserve">Yu H, Fellows A, et al. FOXO3a (Forkhead Transcription Factor O Subfamily Member 3a) Links Vascular Smooth Muscle Cell Apoptosis, Matrix Breakdown, Atherosclerosis, and Vascular Remodeling Through a Novel Pathway Involving MMP13 (Matrix Metalloproteinase 13). Arterioscler Thromb Vasc Biol. 2018;38(3):555-565. doi: 10.1161/ATVBAHA.117.310502.</t>
  </si>
  <si>
    <t xml:space="preserve">NPMT-I305</t>
  </si>
  <si>
    <t xml:space="preserve">Sabatini et al., 2002, Osteoarthritis and Cartilage</t>
  </si>
  <si>
    <t xml:space="preserve">10.1053/joca.2002.0827</t>
  </si>
  <si>
    <t xml:space="preserve">12202119</t>
  </si>
  <si>
    <t xml:space="preserve">Sabatini M, Bardiot A, Lesur C, Moulharat N, Thomas M, Richard I, Fradin A. Effects of agonists of peroxisome proliferator-activated receptor gamma on proteoglycan degradation and matrix metalloproteinase production in rat cartilage in vitro. Osteoarthritis Cartilage. 2002 Sep;10(9):673-9. doi: 10.1053/joca.2002.0827. PMID: 12202119.</t>
  </si>
  <si>
    <t xml:space="preserve">NPMT-I306</t>
  </si>
  <si>
    <t xml:space="preserve">Yan et al., 2013</t>
  </si>
  <si>
    <t xml:space="preserve">Bovine</t>
  </si>
  <si>
    <t xml:space="preserve">Yan, D., Chen, D., Hawse, J. R., van Wijnen, A. J., &amp; Im, H. J. (2013). Bovine lactoferricin induces TIMP-3 via the ERK1/2-Sp1 axis in human articular chondrocytes. Gene, 517(1), 12-18.</t>
  </si>
  <si>
    <t xml:space="preserve">NPMT-I307</t>
  </si>
  <si>
    <t xml:space="preserve">Guinea-Viniegra et al., 2009, Genes Dev.</t>
  </si>
  <si>
    <t xml:space="preserve">10.1101/gad.543109</t>
  </si>
  <si>
    <t xml:space="preserve">19933155</t>
  </si>
  <si>
    <t xml:space="preserve">Opposite direction — JunB and c-Jun directly activate TIMP3 transcription; contradicts network inhibitory sign.</t>
  </si>
  <si>
    <t xml:space="preserve">Guinea-Viniegra J, Zenz R, Scheuch H, et al. TNFalpha shedding and epidermal inflammation are controlled by Jun proteins. Genes Dev. 2009;23(22):2663-2674. doi: 10.1101/gad.543109. PMID: 19933155.</t>
  </si>
  <si>
    <t xml:space="preserve">NPMT-I308</t>
  </si>
  <si>
    <t xml:space="preserve">TNF</t>
  </si>
  <si>
    <t xml:space="preserve">NPMT-I309</t>
  </si>
  <si>
    <t xml:space="preserve">NPMT-I310</t>
  </si>
  <si>
    <t xml:space="preserve">Zhang et al., 2016, Osteoarthritis and Cartilage</t>
  </si>
  <si>
    <t xml:space="preserve">10.1016/j.joca.2016.02.003</t>
  </si>
  <si>
    <t xml:space="preserve">26903200</t>
  </si>
  <si>
    <t xml:space="preserve">Zhang M, Lu Q, Egan B, Zhong XB, Brandt K, Wang J. Epigenetically mediated spontaneous reduction of NFAT1 expression causes imbalanced metabolic activities of articular chondrocytes in aged mice. Osteoarthritis Cartilage. 2016 Jul;24(7):1274-83. doi: 10.1016/j.joca.2016.02.003. Epub 2016 Feb 20. PMID: 26903200; PMCID: PMC4907852.</t>
  </si>
  <si>
    <t xml:space="preserve">NPMT-I311</t>
  </si>
  <si>
    <t xml:space="preserve">NPMT-I312</t>
  </si>
  <si>
    <t xml:space="preserve">NPMT-I313</t>
  </si>
  <si>
    <t xml:space="preserve">NPMT-I314</t>
  </si>
  <si>
    <t xml:space="preserve">Zhou et al., 2013, American Journal of Physiology-Renal Physiology</t>
  </si>
  <si>
    <t xml:space="preserve">10.1152/ajprenal.00591.2012</t>
  </si>
  <si>
    <t xml:space="preserve">23324178</t>
  </si>
  <si>
    <t xml:space="preserve">Zhou X, Wang H, Burg MB, Ferraris JD. Inhibitory phosphorylation of GSK-3β by AKT, PKA, and PI3K contributes to high NaCl-induced activation of the transcription factor NFAT5 (TonEBP/OREBP). Am J Physiol Renal Physiol. 2013 Apr 1;304(7):F908-17. doi: 10.1152/ajprenal.00591.2012. Epub 2013 Jan 16. PMID: 23324178; PMCID: PMC3625851.</t>
  </si>
  <si>
    <t xml:space="preserve">NPMT-I315</t>
  </si>
  <si>
    <t xml:space="preserve">NL</t>
  </si>
  <si>
    <t xml:space="preserve">O’Conor et al., 2014, Proc. Natl. Acad. Sci. U.S.A.</t>
  </si>
  <si>
    <t xml:space="preserve">10.1073/pnas.1319569111</t>
  </si>
  <si>
    <t xml:space="preserve">24474754</t>
  </si>
  <si>
    <t xml:space="preserve">porcine</t>
  </si>
  <si>
    <t xml:space="preserve">O'Conor CJ, Leddy HA, Benefield HC, Liedtke WB, Guilak F. TRPV4-mediated mechanotransduction regulates the metabolic response of chondrocytes to dynamic loading. Proc Natl Acad Sci U S A. 2014 Jan 28;111(4):1316-21. doi: 10.1073/pnas.1319569111. Epub 2014 Jan 13. PMID: 24474754; PMCID: PMC3910592.</t>
  </si>
  <si>
    <t xml:space="preserve">NPMT-I316</t>
  </si>
  <si>
    <t xml:space="preserve">ULK1</t>
  </si>
  <si>
    <t xml:space="preserve">Lv, S., Wang, X., Jin, S., Shen, S., Wang, R., &amp; Tong, P. (2022). Quercetin mediates TSC2-RHEB-mTOR pathway to regulate chondrocytes autophagy in knee osteoarthritis. Gene, 820, 146209.                                                                                                                                                                                                                                    Ansari MY, Ahmad N, Haqqi TM. Butein activation Autophagy Through AMPK/TSC2/ULK1/mTOR Pathway to Inhibit IL-6 Expression in IL-1β Stimulated Human Chondrocytes. Cell Physiol Biochem. 2018;49(3):932-946. doi: 10.1159/000493225. Epub 2018 Sep 5. PMID: 30184535.</t>
  </si>
  <si>
    <t xml:space="preserve">NPMT-I317</t>
  </si>
  <si>
    <t xml:space="preserve">Hosokawa et al., 2009, MBoC</t>
  </si>
  <si>
    <t xml:space="preserve">10.1091/mbc.e08-12-1248</t>
  </si>
  <si>
    <t xml:space="preserve">19211835</t>
  </si>
  <si>
    <t xml:space="preserve">Hosokawa N, Hara T, Kaizuka T, Kishi C, Takamura A, Miura Y, Iemura S, Natsume T, Takehana K, Yamada N, Guan JL, Oshiro N, Mizushima N. Nutrient-dependent mTORC1 association with the ULK1-Atg13-FIP200 complex required for autophagy. Mol Biol Cell. 2009 Apr;20(7):1981-91. doi: 10.1091/mbc.e08-12-1248. Epub 2009 Feb 11. PMID: 19211835; PMCID: PMC2663915.</t>
  </si>
  <si>
    <t xml:space="preserve">NPMT-I318</t>
  </si>
  <si>
    <t xml:space="preserve">VEGF</t>
  </si>
  <si>
    <t xml:space="preserve">NPMT-I319</t>
  </si>
  <si>
    <t xml:space="preserve">NPMT-I320</t>
  </si>
  <si>
    <t xml:space="preserve">LA Binch et al., 2014, Arthritis Res Ther</t>
  </si>
  <si>
    <t xml:space="preserve">10.1186/s13075-014-0416-1</t>
  </si>
  <si>
    <t xml:space="preserve">25209447</t>
  </si>
  <si>
    <t xml:space="preserve">Binch AL, Cole AA, Breakwell LM, Michael AL, Chiverton N, Cross AK, Le Maitre CL. Expression and regulation of neurotrophic and angiogenic factors during human intervertebral disc degeneration. Arthritis Res Ther. 2014 Aug 20;16(5):416. doi: 10.1186/s13075-014-0416-1. PMID: 25209447; PMCID: PMC4177417.</t>
  </si>
  <si>
    <t xml:space="preserve">NPMT-I321</t>
  </si>
  <si>
    <t xml:space="preserve">Song et al., 2013, Journal of Biological Chemistry</t>
  </si>
  <si>
    <t xml:space="preserve">10.1074/jbc.m112.440552</t>
  </si>
  <si>
    <t xml:space="preserve">23413029</t>
  </si>
  <si>
    <t xml:space="preserve">Song D, Li LS, Heaton-Johnson KJ, Arsenault PR, Master SR, Lee FS. Prolyl hydroxylase domain protein 2 (PHD2) binds a Pro-Xaa-Leu-Glu motif, linking it to the heat shock protein 90 pathway. J Biol Chem. 2013 Apr 5;288(14):9662-9674. doi: 10.1074/jbc.M112.440552. Epub 2013 Feb 14. PMID: 23413029; PMCID: PMC3617269.</t>
  </si>
  <si>
    <t xml:space="preserve">NPMT-I322</t>
  </si>
  <si>
    <t xml:space="preserve">Averill-Bates, 2024, Biochimica et Biophysica Acta (BBA) - Molecular Cell Research</t>
  </si>
  <si>
    <t xml:space="preserve">10.1016/j.bbamcr.2023.119573</t>
  </si>
  <si>
    <t xml:space="preserve">37949302</t>
  </si>
  <si>
    <t xml:space="preserve">Averill-Bates D. Reactive oxygen species and cell signaling. Review. Biochim Biophys Acta Mol Cell Res. 2024 Feb;1871(2):119573. doi: 10.1016/j.bbamcr.2023.119573. Epub 2023 Nov 8. PMID: 37949302.</t>
  </si>
  <si>
    <t xml:space="preserve">NPMT-I323</t>
  </si>
  <si>
    <t xml:space="preserve">Wnt3a</t>
  </si>
  <si>
    <t xml:space="preserve">Ge et al., 2011</t>
  </si>
  <si>
    <t xml:space="preserve">human/rabbit</t>
  </si>
  <si>
    <t xml:space="preserve">Ge, X. P., Gan, Y. H., Zhang, C. G., Zhou, C. Y., Ma, K. T., Meng, J. H., &amp; Ma, X. C. (2011). Requirement of the NF-κB pathway for induction of Wnt-5A by interleukin-1β in condylar chondrocytes of the temporomandibular joint: functional crosstalk between the Wnt-5A and NF-κB signaling pathways. Osteoarthritis and cartilage, 19(1), 111-117.</t>
  </si>
  <si>
    <t xml:space="preserve">NPMT-I324</t>
  </si>
  <si>
    <t xml:space="preserve">Park et al., 2015, Cell</t>
  </si>
  <si>
    <t xml:space="preserve">10.1016/j.cell.2015.07.013</t>
  </si>
  <si>
    <t xml:space="preserve">26276632</t>
  </si>
  <si>
    <t xml:space="preserve">Park HW, Kim YC, Yu B, Moroishi T, Mo JS, Plouffe SW, Meng Z, Lin KC, Yu FX, Alexander CM, Wang CY, Guan KL. Alternative Wnt Signaling activation YAP/TAZ. Cell. 2015 Aug 13;162(4):780-94. doi: 10.1016/j.cell.2015.07.013. PMID: 26276632; PMCID: PMC4538707.</t>
  </si>
  <si>
    <t xml:space="preserve">NPMT-I325</t>
  </si>
  <si>
    <t xml:space="preserve">Filali et al., 2002, Journal of Biological Chemistry</t>
  </si>
  <si>
    <t xml:space="preserve">10.1074/jbc.m107977200</t>
  </si>
  <si>
    <t xml:space="preserve">12052822</t>
  </si>
  <si>
    <t xml:space="preserve">Filali M, Cheng N, Abbott D, Leontiev V, Engelhardt JF. Wnt-3A/beta-catenin signaling induces transcription from the LEF-1 promoter. J Biol Chem. 2002 Sep 6;277(36):33398-410. doi: 10.1074/jbc.M107977200. Epub 2002 Jun 6. PMID: 12052822.</t>
  </si>
  <si>
    <t xml:space="preserve">NPMT-I326</t>
  </si>
  <si>
    <t xml:space="preserve">Topol et al., 2009, Journal of Biological Chemistry</t>
  </si>
  <si>
    <t xml:space="preserve">10.1074/jbc.m808048200</t>
  </si>
  <si>
    <t xml:space="preserve">19047045</t>
  </si>
  <si>
    <t xml:space="preserve">Topol L, Chen W, Song H, Day TF, Yang Y. Sox9 inhibition Wnt signaling by promoting beta-catenin phosphorylation in the nucleus. J Biol Chem. 2009 Jan 30;284(5):3323-3333. doi: 10.1074/jbc.M808048200. Epub 2008 Dec 1. PMID: 19047045; PMCID: PMC2631972.</t>
  </si>
  <si>
    <t xml:space="preserve">NPMT-I327</t>
  </si>
  <si>
    <t xml:space="preserve">Wnt5a</t>
  </si>
  <si>
    <t xml:space="preserve">NPMT-I328</t>
  </si>
  <si>
    <t xml:space="preserve">NPMT-I329</t>
  </si>
  <si>
    <t xml:space="preserve">Hoogeboom et al., 2008, Journal of Biological Chemistry</t>
  </si>
  <si>
    <t xml:space="preserve">10.1074/jbc.m706638200</t>
  </si>
  <si>
    <t xml:space="preserve">18250171</t>
  </si>
  <si>
    <t xml:space="preserve">Hoogeboom D, Essers MA, Polderman PE, Voets E, Smits LM, Burgering BM. Interaction of FOXO with beta-catenin inhibition beta-catenin/T cell factor activity. J Biol Chem. 2008 Apr 4;283(14):9224-30. doi: 10.1074/jbc.M706638200. Epub 2008 Feb 4. PMID: 18250171.</t>
  </si>
  <si>
    <t xml:space="preserve">NPMT-I330</t>
  </si>
  <si>
    <t xml:space="preserve">Fearing et al., 2019, The FASEB Journal</t>
  </si>
  <si>
    <t xml:space="preserve">10.1096/fj.201802725rrr</t>
  </si>
  <si>
    <t xml:space="preserve">31638828</t>
  </si>
  <si>
    <t xml:space="preserve">Fearing BV, Jing L, Barcellona MN, Witte SE, Buchowski JM, Zebala LP, Kelly MP, Luhmann S, Gupta MC, Pathak A, Setton LA. Mechanosensitive transcriptional coactivators MRTF-A and YAP/TAZ regulate nucleus pulposus cell phenotype through cell shape. FASEB J. 2019 Dec;33(12):14022-14035. doi: 10.1096/fj.201802725RRR. Epub 2019 Oct 22. PMID: 31638828; PMCID: PMC6894097.</t>
  </si>
  <si>
    <t xml:space="preserve">NPMT-I331</t>
  </si>
  <si>
    <t xml:space="preserve">NPMT-I332</t>
  </si>
  <si>
    <t xml:space="preserve">Zhang et al., 2018, Cell Proliferation</t>
  </si>
  <si>
    <t xml:space="preserve">10.1111/cpr.12492</t>
  </si>
  <si>
    <t xml:space="preserve">30039887</t>
  </si>
  <si>
    <t xml:space="preserve">Zhang C, Wang F, Xie Z, Chen L, Sinkemani A, Yu H, Wu X. AMOT130 linking F-actin to YAP is involved in intervertebral disc degeneration. Cell Prolif. 2018 Dec;51(6):e12492. doi: 10.1111/cpr.12492. Epub 2018 Jul 24. PMID: 30039887; PMCID: PMC6528878.</t>
  </si>
  <si>
    <t xml:space="preserve">NPMT-I333</t>
  </si>
  <si>
    <t xml:space="preserve">Kurakawa et al., 2015, The Spine Journal</t>
  </si>
  <si>
    <t xml:space="preserve">10.1016/j.spinee.2014.12.143</t>
  </si>
  <si>
    <t xml:space="preserve">25546513</t>
  </si>
  <si>
    <t xml:space="preserve">Kurakawa T, Kakutani K, Morita Y, Kato Y, Yurube T, Hirata H, Miyazaki S, Terashima Y, Maeno K, Takada T, Doita M, Kurosaka M, Inoue N, Masuda K, Nishida K. Functional impact of integrin α5β1 on the homeostasis of intervertebral discs: a study of mechanotransduction pathways using a novel dynamic loading organ culture system. Spine J. 2015 Mar 1;15(3):417-26. doi: 10.1016/j.spinee.2014.12.143. Epub 2014 Dec 27. PMID: 25546513; PMCID: PMC5673479.</t>
  </si>
  <si>
    <t xml:space="preserve">NPMT-I334</t>
  </si>
  <si>
    <t xml:space="preserve">Kaiser et al., 2012, J Cellular Molecular Medi</t>
  </si>
  <si>
    <t xml:space="preserve">10.1111/j.1582-4934.2012.01553.x</t>
  </si>
  <si>
    <t xml:space="preserve">22353471</t>
  </si>
  <si>
    <t xml:space="preserve">Functional support, not expression — Hypoxia reduced adhesion to fibronectin in alpha5/beta1-integrin-dependent cells; no proof alpha5beta1 abundance declines or FN compartment.</t>
  </si>
  <si>
    <t xml:space="preserve">Kaiser R, Friedrich D, Chavakis E, Böhm M, Friedrich EB. Effect of hypoxia on integrin-mediated adhesion of endothelial progenitor cells. J Cell Mol Med. 2012;16(10):2387-2393. doi: 10.1111/j.1582-4934.2012.01553.x. PMID: 22353471.</t>
  </si>
  <si>
    <t xml:space="preserve">NPMT-I335</t>
  </si>
  <si>
    <t xml:space="preserve">Lucchinetti et al., 2004, Cell and Tissue Research</t>
  </si>
  <si>
    <t xml:space="preserve">10.1007/s00441-003-0836-8</t>
  </si>
  <si>
    <t xml:space="preserve">14673641</t>
  </si>
  <si>
    <t xml:space="preserve">cartilage tissue</t>
  </si>
  <si>
    <t xml:space="preserve">bovine</t>
  </si>
  <si>
    <t xml:space="preserve">Lucchinetti E, Bhargava MM, Torzilli PA. The effect of mechanical load on integrin subunits alpha5 and beta1 in chondrocytes from mature and immature cartilage explants. Cell Tissue Res. 2004 Mar;315(3):385-91. doi: 10.1007/s00441-003-0836-8. Epub 2003 Dec 12. PMID: 14673641.</t>
  </si>
  <si>
    <t xml:space="preserve">NPMT-I336</t>
  </si>
  <si>
    <t xml:space="preserve">Functional support, not expression — Same reduction in alpha5/beta1-related FN adhesion; F-s subtype not established.</t>
  </si>
  <si>
    <t xml:space="preserve">NPMT-I337</t>
  </si>
  <si>
    <t xml:space="preserve">Hirose et al., 2020, Cell Biology International</t>
  </si>
  <si>
    <t xml:space="preserve">10.1002/cbin.11293</t>
  </si>
  <si>
    <t xml:space="preserve">31876323</t>
  </si>
  <si>
    <t xml:space="preserve">chondrogenic</t>
  </si>
  <si>
    <t xml:space="preserve">Hirose N, Okamoto Y, Yanoshita M, Asakawa Y, Sumi C, Takano M, Nishiyama S, Su SC, Mitsuyoshi T, Kunimatsu R, Tanne K, Tanimoto K. Protective effects of cilengitide on inflammation in chondrocytes under excessive mechanical stress. Cell Biol Int. 2020 Apr;44(4):966-974. doi: 10.1002/cbin.11293. Epub 2020 Jan 6. PMID: 31876323.</t>
  </si>
  <si>
    <t xml:space="preserve">NPMT-I338</t>
  </si>
  <si>
    <t xml:space="preserve">Cowden Dahl et al., 2005, MBoC</t>
  </si>
  <si>
    <t xml:space="preserve">10.1091/mbc.e04-12-1082</t>
  </si>
  <si>
    <t xml:space="preserve">15689487</t>
  </si>
  <si>
    <t xml:space="preserve">Opposite direction — Hypoxia increased alphaVbeta3 surface expression; contradicts negative sign.</t>
  </si>
  <si>
    <t xml:space="preserve">Cowden Dahl KD, Robertson SE, Weaver VM, Simon MC. Hypoxia-inducible factor regulates alphavbeta3 integrin cell surface expression. Mol Biol Cell. 2005;16(4):1901-1912. doi: 10.1091/mbc.E04-12-1082. PMID: 15689487.</t>
  </si>
  <si>
    <t xml:space="preserve">NPMT-I339</t>
  </si>
  <si>
    <t xml:space="preserve">Bian et al., 2017, Bone Res</t>
  </si>
  <si>
    <t xml:space="preserve">10.1038/boneres.2017.8</t>
  </si>
  <si>
    <t xml:space="preserve">IVD</t>
  </si>
  <si>
    <t xml:space="preserve">Bian, Q., Ma, L., Jain, A. et al. Mechanosignaling activation of TGFβ maintains intervertebral disc homeostasis. Bone Res 5, 17008 (2017). https://doi.org/10.1038/boneres.2017.8</t>
  </si>
  <si>
    <t xml:space="preserve">NPMT-I340</t>
  </si>
  <si>
    <t xml:space="preserve">Ridgway et al., 2005, Wound Repair Regen</t>
  </si>
  <si>
    <t xml:space="preserve">10.1111/j.1067-1927.2005.130206.x</t>
  </si>
  <si>
    <t xml:space="preserve">15828940</t>
  </si>
  <si>
    <t xml:space="preserve">contextual / conflicting, NOT sign-validated — CONTRADICTORY: hypoxia INCREASES αVβ6, opposite of network inhibition.</t>
  </si>
  <si>
    <t xml:space="preserve">Keratinocytes</t>
  </si>
  <si>
    <t xml:space="preserve">Human keratinocytes</t>
  </si>
  <si>
    <t xml:space="preserve">Ridgway PF, Ziprin P, Peck DH, Darzi AW. Hypoxia increases reepithelialization via an alphavbeta6-dependent pathway. Wound Repair Regen. 2005;13(2):158-164. doi: 10.1111/j.1067-1927.2005.130206.x. PMID: 15828940. | [Evidence caveat: CONTRADICTORY: hypoxia INCREASES αVβ6, opposite of network inhibition.]</t>
  </si>
  <si>
    <t xml:space="preserve">NPMT-I341</t>
  </si>
  <si>
    <t xml:space="preserve">Yang et al., 2022, American Journal of Physiology-Cell Physiology</t>
  </si>
  <si>
    <t xml:space="preserve">10.1152/ajpcell.00355.2021</t>
  </si>
  <si>
    <t xml:space="preserve">35108117</t>
  </si>
  <si>
    <t xml:space="preserve">Yang X, Sun Y, Li X, Zhang W. Rac1 regulates nucleus pulposus cell degeneration by activating the Wnt/β-catenin signaling pathway and promotes the progression of intervertebral disc degeneration. Am J Physiol Cell Physiol. 2022 Mar 1;322(3):C496-C507. doi: 10.1152/ajpcell.00355.2021. Epub 2022 Feb 2. PMID: 35108117.</t>
  </si>
  <si>
    <t xml:space="preserve">NPMT-I342</t>
  </si>
  <si>
    <t xml:space="preserve">NPMT-I343</t>
  </si>
  <si>
    <t xml:space="preserve">NPMT-I344</t>
  </si>
  <si>
    <t xml:space="preserve">Hagen &amp; Vidal-Puig, 2002, Biochemical and Biophysical Research Communications</t>
  </si>
  <si>
    <t xml:space="preserve">10.1016/s0006-291x(02)00485-0</t>
  </si>
  <si>
    <t xml:space="preserve">12051714</t>
  </si>
  <si>
    <t xml:space="preserve">Hagen T, Vidal-Puig A. Characterisation of the phosphorylation of beta-catenin at the GSK-3 priming site Ser45. Biochem Biophys Res Commun. 2002 Jun 7;294(2):324-8. doi: 10.1016/S0006-291X(02)00485-0. PMID: 12051714.</t>
  </si>
  <si>
    <t xml:space="preserve">NPMT-I345</t>
  </si>
  <si>
    <t xml:space="preserve">NPMT-I346</t>
  </si>
  <si>
    <t xml:space="preserve">Chen et al., 2022, Oxidative Medicine and Cellular Longevity</t>
  </si>
  <si>
    <t xml:space="preserve">10.1155/2022/7655142</t>
  </si>
  <si>
    <t xml:space="preserve">35265264</t>
  </si>
  <si>
    <t xml:space="preserve">Chen R, Gao S, Guan H, Zhang X, Gao Y, Su Y, Song Y, Jiang Y, Li N. Naringin protects human nucleus pulposus cells against TNF-α-induced inflammation, oxidative stress, and loss of cellular homeostasis by enhancing autophagic flux via AMPK/SIRT1 activation. Oxid Med Cell Longev. 2022 Feb 27;2022:7655142. doi: 10.1155/2022/7655142. PMID: 35265264; PMCID: PMC8898769.</t>
  </si>
  <si>
    <t xml:space="preserve">NPMT-I347</t>
  </si>
  <si>
    <t xml:space="preserve">Nakajo et al., 2024, Biochemical and Biophysical Research Communications</t>
  </si>
  <si>
    <t xml:space="preserve">10.1016/j.bbrc.2024.150371</t>
  </si>
  <si>
    <t xml:space="preserve">39004065</t>
  </si>
  <si>
    <t xml:space="preserve">functional support (other cells) — Functional support: hydrogen peroxide/oxidative stress reduced NAD+ through PARP activation; not NP-specific.</t>
  </si>
  <si>
    <t xml:space="preserve">Vascular endothelial cells</t>
  </si>
  <si>
    <t xml:space="preserve">Nakajo T, Katayoshi T, Kitajima N, Tsuji K. NAD+ overconsumption by poly (ADP-ribose) polymerase (PARP) under oxidative stress induces cytoskeletal disruption in vascular endothelial cell. Biochem Biophys Res Commun. 2024;731:150371. doi: 10.1016/j.bbrc.2024.150371. PMID: 39004065.</t>
  </si>
  <si>
    <t xml:space="preserve">NPMT-I348</t>
  </si>
  <si>
    <t xml:space="preserve">Lan et al., 2008, Journal of Biological Chemistry</t>
  </si>
  <si>
    <t xml:space="preserve">10.1074/jbc.m805711200</t>
  </si>
  <si>
    <t xml:space="preserve">18687677</t>
  </si>
  <si>
    <t xml:space="preserve">Lan F, Cacicedo JM, Ruderman N, Ido Y. SIRT1 modulation of the acetylation status, cytosolic localization, and activity of LKB1. Possible role in AMP-activated protein kinase activation. J Biol Chem. 2008 Oct 10;283(41):27628-27635. doi: 10.1074/jbc.M805711200. Epub 2008 Aug 7. PMID: 18687677; PMCID: PMC2562073.</t>
  </si>
  <si>
    <t xml:space="preserve">NPMT-I349</t>
  </si>
  <si>
    <t xml:space="preserve">Sao &amp; Risbud, 2025, Cell Death Dis</t>
  </si>
  <si>
    <t xml:space="preserve">10.1038/s41419-025-08002-3</t>
  </si>
  <si>
    <t xml:space="preserve">Sao, K., Risbud, M.V. SDC4 drives fibrotic remodeling of the intervertebral disc under altered spinal loading. Cell Death Dis 16, 678 (2025). https://doi.org/10.1038/s41419-025-08002-3</t>
  </si>
  <si>
    <t xml:space="preserve">NPMT-I350</t>
  </si>
  <si>
    <t xml:space="preserve">Fujita et al., 2014, The FASEB Journal</t>
  </si>
  <si>
    <t xml:space="preserve">10.1096/fj.13-243741</t>
  </si>
  <si>
    <t xml:space="preserve">24558194</t>
  </si>
  <si>
    <t xml:space="preserve">Opposite direction — NP cells — Hypoxia/HIF-1 upregulates SDC4; contradicts inhibitory sign and does not resolve M compartment.</t>
  </si>
  <si>
    <t xml:space="preserve">Fujita N, Hirose Y, Tran CM, et al. HIF-1-PHD2 axis controls expression of syndecan 4 in nucleus pulposus cells. FASEB J. 2014;28(6):2455-2465. doi: 10.1096/fj.13-243741. PMID: 24558194.</t>
  </si>
  <si>
    <t xml:space="preserve">NPMT-I351</t>
  </si>
  <si>
    <t xml:space="preserve">NPMT-I352</t>
  </si>
  <si>
    <t xml:space="preserve">Opposite direction — NP cells — Hypoxia/HIF-1 upregulates SDC4; contradicts inhibitory sign and does not resolve E compartment.</t>
  </si>
  <si>
    <t xml:space="preserve">NPMT-I353</t>
  </si>
  <si>
    <t xml:space="preserve">MitD</t>
  </si>
  <si>
    <t xml:space="preserve">Yang et al., 2013, International Orthopaedics (SICOT)</t>
  </si>
  <si>
    <t xml:space="preserve">10.1007/s00264-013-2144-6</t>
  </si>
  <si>
    <t xml:space="preserve">24122049</t>
  </si>
  <si>
    <t xml:space="preserve">Supported in NP — ROS-mediated mitochondrial dysfunction in NP cells; interpret MitD as mitochondrial dysfunction</t>
  </si>
  <si>
    <t xml:space="preserve">NP cell experimental model</t>
  </si>
  <si>
    <t xml:space="preserve">Yang L, Zhu L, Dong W, Cao Y, Lin L, Rong Z, Zhang Z, Wu G. Reactive oxygen species-mediated mitochondrial dysfunction plays a critical role in high glucose-induced nucleus pulposus cell injury. Int Orthop. 2014;38(1):205-206. doi: 10.1007/s00264-013-2144-6. PMID: 24122049.</t>
  </si>
  <si>
    <t xml:space="preserve">Summary statistics of the interaction corpus</t>
  </si>
  <si>
    <t xml:space="preserve">All counts are formulas on the 'Interactions' sheet and refer to interactions (rows), not to distinct publications.</t>
  </si>
  <si>
    <t xml:space="preserve">Key figures</t>
  </si>
  <si>
    <t xml:space="preserve">  Activating</t>
  </si>
  <si>
    <t xml:space="preserve">  Inhibitory</t>
  </si>
  <si>
    <t xml:space="preserve">Interactions with at least one DOI</t>
  </si>
  <si>
    <t xml:space="preserve">Interactions with an evidence note (reviewed)</t>
  </si>
  <si>
    <t xml:space="preserve">Interactions whose references carry a retraction or concern notice</t>
  </si>
  <si>
    <t xml:space="preserve">Interactions whose reference is also cited in Table S2</t>
  </si>
  <si>
    <t xml:space="preserve">Distinct DOIs cited</t>
  </si>
  <si>
    <t xml:space="preserve">Cell type of the supporting evidence</t>
  </si>
  <si>
    <t xml:space="preserve">Share</t>
  </si>
  <si>
    <t xml:space="preserve">Total</t>
  </si>
  <si>
    <t xml:space="preserve">Species of the experimental model</t>
  </si>
  <si>
    <t xml:space="preserve">Experimental setting</t>
  </si>
  <si>
    <t xml:space="preserve">Interactions by functional module</t>
  </si>
  <si>
    <t xml:space="preserve">Functional module</t>
  </si>
  <si>
    <t xml:space="preserve">Outgoing (source)</t>
  </si>
  <si>
    <t xml:space="preserve">Incoming (target)</t>
  </si>
  <si>
    <t xml:space="preserve">Within module</t>
  </si>
  <si>
    <t xml:space="preserve">A node belongs to its primary functional module (the categories used in the manuscript's figures).</t>
  </si>
  <si>
    <t xml:space="preserve">Evidence review of 37 interactions</t>
  </si>
  <si>
    <t xml:space="preserve">Interactions whose supporting evidence was added or re-examined during curation, with the classification of that evidence. Interactions supported only by indirect, contextual, partial or conflicting evidence are kept in the network and flagged here for transparency.</t>
  </si>
  <si>
    <t xml:space="preserve">Evidence class</t>
  </si>
  <si>
    <t xml:space="preserve">Cell type / model</t>
  </si>
  <si>
    <t xml:space="preserve">Publication</t>
  </si>
  <si>
    <t xml:space="preserve">What was shown</t>
  </si>
  <si>
    <t xml:space="preserve">Limitation</t>
  </si>
  <si>
    <t xml:space="preserve">Used as support in corpus</t>
  </si>
  <si>
    <t xml:space="preserve">Supported in NP</t>
  </si>
  <si>
    <t xml:space="preserve">Nucleus pulposus / Human NP cells</t>
  </si>
  <si>
    <t xml:space="preserve">HIF-1α overexpression increased aggrecan</t>
  </si>
  <si>
    <t xml:space="preserve">Yes</t>
  </si>
  <si>
    <t xml:space="preserve">Partial: ADAMTS4 only</t>
  </si>
  <si>
    <t xml:space="preserve">Chondrocytes / Human osteoarthritic chondrocytes</t>
  </si>
  <si>
    <t xml:space="preserve">p38 dependent TNF-α induction of ADAMTS4; NOT demonstrated for ADAMTS5</t>
  </si>
  <si>
    <t xml:space="preserve">P38 dependent TNF-α induction of ADAMTS4; NOT demonstrated for ADAMTS5</t>
  </si>
  <si>
    <t xml:space="preserve">Contextual; direction conflicts</t>
  </si>
  <si>
    <t xml:space="preserve">Other mammalian cells / biochemical</t>
  </si>
  <si>
    <t xml:space="preserve">PIP3 recruits and promotes activation of AKT; no M-to-E cross-compartment inhibition shown</t>
  </si>
  <si>
    <t xml:space="preserve">Cited because it directly studies PIP3 and AKT1, but it supports activation and does not validate negative sign or M/E topology</t>
  </si>
  <si>
    <t xml:space="preserve">Yes — contextual only</t>
  </si>
  <si>
    <t xml:space="preserve">PIP3 recruits and promotes activation of AKT; no E-to-M cross-compartment inhibition shown</t>
  </si>
  <si>
    <t xml:space="preserve">Same primary paper supports generic PIP3–AKT molecular interaction, not negative sign or compartment-specific effect</t>
  </si>
  <si>
    <t xml:space="preserve">Indirect mechanistic support</t>
  </si>
  <si>
    <t xml:space="preserve">Mammalian cells</t>
  </si>
  <si>
    <t xml:space="preserve">Ca2+ can activate AMPK via CaMKKβ; osmotic compartment not tested.</t>
  </si>
  <si>
    <t xml:space="preserve">Selected due to experimentally measured relationship; sign/context caveat recorded</t>
  </si>
  <si>
    <t xml:space="preserve">Yes — contextual or indirect</t>
  </si>
  <si>
    <t xml:space="preserve">Supported in other cells</t>
  </si>
  <si>
    <t xml:space="preserve">Other cells / Mouse embryonic fibroblasts / osteosarcoma cells</t>
  </si>
  <si>
    <t xml:space="preserve">ROS-dependent AMPK activation in hypoxic cultured cells; not NP-specific</t>
  </si>
  <si>
    <t xml:space="preserve">Contextual / contradictory; retained at curators' discretion</t>
  </si>
  <si>
    <t xml:space="preserve">He X, Ohba S, Hojo H, McMahon AP. AP-1 family members act with Sox9 to promote chondrocyte hypertrophy. Development. 2016;143(16):3012-3023. doi: 10.1242/dev.134502. PMID: 27471255.
Yang Y, Gomez N, Infarinato N, et al. The pioneer factor SOX9 competes for epigenetic factors to switch stem cell fates. Nat Cell Biol. 2023;25:1185-1195. doi: 10.1038/s41556-023-01184-y.</t>
  </si>
  <si>
    <t xml:space="preserve">Context-dependent cooperation or altered occupancy; not general inhibition.</t>
  </si>
  <si>
    <t xml:space="preserve">Retained at curators' discretion; NOT direct evidence of negative signed compartment-specific edge.</t>
  </si>
  <si>
    <t xml:space="preserve">Yes — caveated</t>
  </si>
  <si>
    <t xml:space="preserve">Supported in chondrocytes</t>
  </si>
  <si>
    <t xml:space="preserve">Chondrocytes / Growth-plate chondrocytes</t>
  </si>
  <si>
    <t xml:space="preserve">IP3 production drives calcium release from endoplasmic reticulum</t>
  </si>
  <si>
    <t xml:space="preserve">Chondrocytes / Human articular chondrocytes</t>
  </si>
  <si>
    <t xml:space="preserve">FOXO1 knockdown reduced catalase protein under oxidative challenge</t>
  </si>
  <si>
    <t xml:space="preserve">HIF-1α overexpression increased type II collagen</t>
  </si>
  <si>
    <t xml:space="preserve">Indirect / pathway-level</t>
  </si>
  <si>
    <t xml:space="preserve">NP cells</t>
  </si>
  <si>
    <t xml:space="preserve">Indirect NP evidence: oxidative stress (TBHP) was associated with ERK1/2-dependent Drp1 activation; ROS itself was not established as the direct activator.</t>
  </si>
  <si>
    <t xml:space="preserve">No</t>
  </si>
  <si>
    <t xml:space="preserve">Pathway-level only: MAP3K activates downstream MAPK signalling which phosphorylates ELK1. Direct MAP3K-to-ELK1 action not shown.</t>
  </si>
  <si>
    <t xml:space="preserve">Chondrocytes / Human OA articular chondrocytes</t>
  </si>
  <si>
    <t xml:space="preserve">p38 inhibition reduces stress-induced HIF-1α expression</t>
  </si>
  <si>
    <t xml:space="preserve">P38 inhibition reduces stress-induced HIF-1α expression</t>
  </si>
  <si>
    <t xml:space="preserve">Chondrocytes / Mouse articular chondrocytes</t>
  </si>
  <si>
    <t xml:space="preserve">Vhl deletion increases HIF-2α protein</t>
  </si>
  <si>
    <t xml:space="preserve">Direct activation</t>
  </si>
  <si>
    <t xml:space="preserve">Other mammalian cells — U2OS/HeLa cultured cells</t>
  </si>
  <si>
    <t xml:space="preserve">Hypoxia induces IKK activity via CaMK2/TAK1 pathway. Tested in cancer cell cultures, not NP.</t>
  </si>
  <si>
    <t xml:space="preserve">Indirect supporting mechanism</t>
  </si>
  <si>
    <t xml:space="preserve">Rat astrocytes / brain slices</t>
  </si>
  <si>
    <t xml:space="preserve">Oxidative stress activated PLC and accumulated inositol phosphates, consistent with IP3 generation.</t>
  </si>
  <si>
    <t xml:space="preserve">Contextual; pathway analogy only</t>
  </si>
  <si>
    <t xml:space="preserve">Rat1 fibroblasts, 3T3-L1 / cell biochemical</t>
  </si>
  <si>
    <t xml:space="preserve">Dong LQ, Landa LR, Wick MJ, Zhu L, Mukai H, Ono Y, Liu F. Phosphorylation of protein kinase N by phosphoinositide-dependent protein kinase-1 mediates insulin signals to the actin cytoskeleton. Proc Natl Acad Sci U S A. 2000;97(10):5089-5094. doi: 10.1073/pnas.090491897. PMID: 10792047.
Ohashi K, Nagata K, Maekawa M, Ishizaki T, Narumiya S, Mizuno K. Rho-associated kinase ROCK activates LIM-kinase 1 by phosphorylation at threonine 508 within the activation loop. J Biol Chem. 2000;275(5):3577-3582. doi: 10.1074/jbc.275.5.3577. PMID: 10652353.</t>
  </si>
  <si>
    <t xml:space="preserve">PKN1 is activated by PDK1 and affects actin cytoskeleton; separately ROCK activates LIMK1; PKN1 to LIMK1 not directly demonstrated</t>
  </si>
  <si>
    <t xml:space="preserve">Selected two primary mechanistic studies that connect PKN1 and LIMK1 to cytoskeletal regulation separately; no direct PKN1→LIMK1 evidence</t>
  </si>
  <si>
    <t xml:space="preserve">H2O2-driven oxidative stress activates p38</t>
  </si>
  <si>
    <t xml:space="preserve">Direct sign match, distant cell type</t>
  </si>
  <si>
    <t xml:space="preserve">Endothelial cells — Human umbilical vein endothelial cells</t>
  </si>
  <si>
    <t xml:space="preserve">Hypoxia decreases PIEZO1 in HUVEC. NP transfer is speculative.</t>
  </si>
  <si>
    <t xml:space="preserve">Direct general pathway, compartment unresolved</t>
  </si>
  <si>
    <t xml:space="preserve">Other mammalian cells — Human 293 cells and purified enzyme</t>
  </si>
  <si>
    <t xml:space="preserve">PTEN directly dephosphorylates PIP3; E tag is NOT experimentally distinguished.</t>
  </si>
  <si>
    <t xml:space="preserve">Other cells / Mammalian cell PLD isoform model</t>
  </si>
  <si>
    <t xml:space="preserve">Activated Rac1 stimulates phospholipase D isozymes including PLD2; E compartment untested</t>
  </si>
  <si>
    <t xml:space="preserve">Activated Rac1 stimulates phospholipase D isozymes including PLD2; M compartment untested</t>
  </si>
  <si>
    <t xml:space="preserve">Other cells / Human macrophages; Caco2; MCF7</t>
  </si>
  <si>
    <t xml:space="preserve">PPARγ ligand-mediated PTEN induction; no NP/chondrocyte demonstration</t>
  </si>
  <si>
    <t xml:space="preserve">Paradiso A, Cardone RA, Bellizzi A, et al. The Na+-H+ exchanger-1 induces cytoskeletal changes involving reciprocal RhoA and Rac1 signaling, resulting in motility and invasion in MDA-MB-435 cells. Breast Cancer Res. 2004;6(6):R616-R628. doi: 10.1186/bcr922. PMID: 15535843.</t>
  </si>
  <si>
    <t xml:space="preserve">Reciprocal RhoA-RAC1 signaling; specific E→M inhibition not demonstrated.</t>
  </si>
  <si>
    <t xml:space="preserve">Reciprocal RhoA-RAC1 signaling; specific M→E inhibition not demonstrated.</t>
  </si>
  <si>
    <t xml:space="preserve">DRP1 upregulation / mitochondrial fission promotes ROS accumulation</t>
  </si>
  <si>
    <t xml:space="preserve">Nucleus pulposus / Rat NP cells and disc model</t>
  </si>
  <si>
    <t xml:space="preserve">Stabilization of SOD1 improves ROS detoxification and attenuates oxidative injury</t>
  </si>
  <si>
    <t xml:space="preserve">Opposite direction</t>
  </si>
  <si>
    <t xml:space="preserve">Vascular smooth muscle cells</t>
  </si>
  <si>
    <t xml:space="preserve">FOXO3a activation downregulated TIMP3 (reported ~27-fold): contradicts network positive sign.</t>
  </si>
  <si>
    <t xml:space="preserve">Yes — contradictory evidence</t>
  </si>
  <si>
    <t xml:space="preserve">Mouse epidermal keratinocytes</t>
  </si>
  <si>
    <t xml:space="preserve">JunB and c-Jun directly activate TIMP3 transcription; contradicts network inhibitory sign.</t>
  </si>
  <si>
    <t xml:space="preserve">Functional support, not expression</t>
  </si>
  <si>
    <t xml:space="preserve">Human endothelial progenitor cells</t>
  </si>
  <si>
    <t xml:space="preserve">Hypoxia reduced adhesion to fibronectin in alpha5/beta1-integrin-dependent cells; no proof alpha5beta1 abundance declines or FN compartment.</t>
  </si>
  <si>
    <t xml:space="preserve">Same reduction in alpha5/beta1-related FN adhesion; F-s subtype not established.</t>
  </si>
  <si>
    <t xml:space="preserve">Non-disc cells</t>
  </si>
  <si>
    <t xml:space="preserve">Hypoxia increased alphaVbeta3 surface expression; contradicts negative sign.</t>
  </si>
  <si>
    <t xml:space="preserve">Ridgway PF, Ziprin P, Peck DH, Darzi AW. Hypoxia increases reepithelialization via an alphavbeta6-dependent pathway. Wound Repair Regen. 2005;13(2):158-164. doi: 10.1111/j.1067-1927.2005.130206.x. PMID: 15828940.</t>
  </si>
  <si>
    <t xml:space="preserve">CONTRADICTORY: hypoxia INCREASES αVβ6, opposite of network inhibition.</t>
  </si>
  <si>
    <t xml:space="preserve">Functional support</t>
  </si>
  <si>
    <t xml:space="preserve">Functional support: hydrogen peroxide/oxidative stress reduced NAD+ through PARP activation; not NP-specific.</t>
  </si>
  <si>
    <t xml:space="preserve">Opposite direction — NP cells</t>
  </si>
  <si>
    <t xml:space="preserve">Nucleus pulposus cells</t>
  </si>
  <si>
    <t xml:space="preserve">Hypoxia/HIF-1 upregulates SDC4; contradicts inhibitory sign and does not resolve M compartment.</t>
  </si>
  <si>
    <t xml:space="preserve">Hypoxia/HIF-1 upregulates SDC4; contradicts inhibitory sign and does not resolve E compartment.</t>
  </si>
  <si>
    <t xml:space="preserve">Nucleus pulposus / NP cell experimental model</t>
  </si>
  <si>
    <t xml:space="preserve">ROS-mediated mitochondrial dysfunction in NP cells; interpret MitD as mitochondrial dysfunction</t>
  </si>
  <si>
    <t xml:space="preserve">Retraction screen of cited publications</t>
  </si>
  <si>
    <t xml:space="preserve">Each DOI cited in the corpus was queried in Crossref on 2026-10-11 for editorial updates linked to the record (retraction, withdrawal, removal, expression of concern), which include the Retraction Watch database. No retraction, withdrawal or expression of concern was found; publications with a published correction or erratum are listed first (highlighted). References without a DOI could not be screened this way.</t>
  </si>
  <si>
    <t xml:space="preserve">DOI</t>
  </si>
  <si>
    <t xml:space="preserve">Year</t>
  </si>
  <si>
    <t xml:space="preserve">Cited by interactions</t>
  </si>
  <si>
    <t xml:space="preserve">Editorial notices</t>
  </si>
  <si>
    <t xml:space="preserve">10.1002/jbmr.561</t>
  </si>
  <si>
    <t xml:space="preserve">Ge et al., 2011, Journal of Bone and Mineral Research</t>
  </si>
  <si>
    <t xml:space="preserve">NPMT-I280, NPMT-I281</t>
  </si>
  <si>
    <t xml:space="preserve">erratum published (10.1002/jbmr.4300)</t>
  </si>
  <si>
    <t xml:space="preserve">10.1007/s00018-023-05094-y</t>
  </si>
  <si>
    <t xml:space="preserve">Zhang et al., 2024, Cell. Mol. Life Sci.</t>
  </si>
  <si>
    <t xml:space="preserve">NPMT-I221, NPMT-I222</t>
  </si>
  <si>
    <t xml:space="preserve">correction published (10.1007/s00018-025-05824-4)</t>
  </si>
  <si>
    <t xml:space="preserve">10.1016/j.cell.2012.06.037</t>
  </si>
  <si>
    <t xml:space="preserve">Yu et al., 2012, Cell</t>
  </si>
  <si>
    <t xml:space="preserve">NPMT-I167, NPMT-I168</t>
  </si>
  <si>
    <t xml:space="preserve">erratum published (10.1016/j.cell.2024.02.007)</t>
  </si>
  <si>
    <t xml:space="preserve">NPMT-I272, NPMT-I273</t>
  </si>
  <si>
    <t xml:space="preserve">correction published (10.1038/s12276-022-00726-y)</t>
  </si>
  <si>
    <t xml:space="preserve">10.1074/jbc.m115.702571</t>
  </si>
  <si>
    <t xml:space="preserve">Qiao et al., 2016, Journal of Biological Chemistry</t>
  </si>
  <si>
    <t xml:space="preserve">NPMT-I084, NPMT-I086</t>
  </si>
  <si>
    <t xml:space="preserve">correction published (10.1074/jbc.a115.702571)</t>
  </si>
  <si>
    <t xml:space="preserve">10.1155/2022/5635797</t>
  </si>
  <si>
    <t xml:space="preserve">Zhou et al., 2022, Oxidative Medicine and Cellular Longevity</t>
  </si>
  <si>
    <t xml:space="preserve">correction published (10.1155/omcl/9821659)</t>
  </si>
  <si>
    <t xml:space="preserve">None</t>
  </si>
  <si>
    <t xml:space="preserve">NPMT-I063, NPMT-I318, NPMT-I319</t>
  </si>
  <si>
    <t xml:space="preserve">NPMT-I109, NPMT-I250</t>
  </si>
  <si>
    <t xml:space="preserve">NPMT-I055, NPMT-I121</t>
  </si>
  <si>
    <t xml:space="preserve">10.1002/jbmr.4300</t>
  </si>
  <si>
    <t xml:space="preserve">Ge et al., 2020, Journal of Bone and Mineral Research</t>
  </si>
  <si>
    <t xml:space="preserve">NPMT-I246, NPMT-I247</t>
  </si>
  <si>
    <t xml:space="preserve">NPMT-I003, NPMT-I290</t>
  </si>
  <si>
    <t xml:space="preserve">10.1007/s00018-025-05824-4</t>
  </si>
  <si>
    <t xml:space="preserve">Zhang et al., 2025, Cell. Mol. Life Sci.</t>
  </si>
  <si>
    <t xml:space="preserve">NPMT-I031, NPMT-I040, NPMT-I174</t>
  </si>
  <si>
    <t xml:space="preserve">NPMT-I001, NPMT-I072</t>
  </si>
  <si>
    <t xml:space="preserve">NPMT-I270, NPMT-I271</t>
  </si>
  <si>
    <t xml:space="preserve">NPMT-I324, NPMT-I328, NPMT-I343</t>
  </si>
  <si>
    <t xml:space="preserve">10.1016/j.cell.2024.02.007</t>
  </si>
  <si>
    <t xml:space="preserve">Yu et al., 2024, Cell</t>
  </si>
  <si>
    <t xml:space="preserve">NPMT-I108, NPMT-I148</t>
  </si>
  <si>
    <t xml:space="preserve">NPMT-I042, NPMT-I085, NPMT-I087</t>
  </si>
  <si>
    <t xml:space="preserve">NPMT-I009, NPMT-I012</t>
  </si>
  <si>
    <t xml:space="preserve">NPMT-I134, NPMT-I157</t>
  </si>
  <si>
    <t xml:space="preserve">NPMT-I004, NPMT-I184</t>
  </si>
  <si>
    <t xml:space="preserve">NPMT-I219, NPMT-I220</t>
  </si>
  <si>
    <t xml:space="preserve">NPMT-I117, NPMT-I118</t>
  </si>
  <si>
    <t xml:space="preserve">NPMT-I263, NPMT-I264</t>
  </si>
  <si>
    <t xml:space="preserve">NPMT-I039, NPMT-I196</t>
  </si>
  <si>
    <t xml:space="preserve">NPMT-I088, NPMT-I158</t>
  </si>
  <si>
    <t xml:space="preserve">NPMT-I056, NPMT-I122, NPMT-I285, NPMT-I287</t>
  </si>
  <si>
    <t xml:space="preserve">NPMT-I147, NPMT-I151</t>
  </si>
  <si>
    <t xml:space="preserve">NPMT-I230, NPMT-I232</t>
  </si>
  <si>
    <t xml:space="preserve">10.1038/s41419-019-1701-3</t>
  </si>
  <si>
    <t xml:space="preserve">Tang et al., 2019, Cell Death Dis</t>
  </si>
  <si>
    <t xml:space="preserve">NPMT-I349, NPMT-I351</t>
  </si>
  <si>
    <t xml:space="preserve">10.1038/s41556-023-01184-y</t>
  </si>
  <si>
    <t xml:space="preserve">Yang et al., 2023, Nat Cell Biol</t>
  </si>
  <si>
    <t xml:space="preserve">NPMT-I145, NPMT-I183, NPMT-I191, NPMT-I308</t>
  </si>
  <si>
    <t xml:space="preserve">NPMT-I026, NPMT-I029</t>
  </si>
  <si>
    <t xml:space="preserve">NPMT-I096, NPMT-I099</t>
  </si>
  <si>
    <t xml:space="preserve">10.1073/pnas.090491897</t>
  </si>
  <si>
    <t xml:space="preserve">Dong et al., 2000, Proc. Natl. Acad. Sci. U.S.A.</t>
  </si>
  <si>
    <t xml:space="preserve">10.1074/jbc.275.5.3577</t>
  </si>
  <si>
    <t xml:space="preserve">Ohashi et al., 2000, Journal of Biological Chemistry</t>
  </si>
  <si>
    <t xml:space="preserve">10.1074/jbc.a115.702571</t>
  </si>
  <si>
    <t xml:space="preserve">NPMT-I163, NPMT-I215</t>
  </si>
  <si>
    <t xml:space="preserve">NPMT-I095, NPMT-I098</t>
  </si>
  <si>
    <t xml:space="preserve">NPMT-I234, NPMT-I236</t>
  </si>
  <si>
    <t xml:space="preserve">NPMT-I244, NPMT-I245</t>
  </si>
  <si>
    <t xml:space="preserve">NPMT-I067, NPMT-I294</t>
  </si>
  <si>
    <t xml:space="preserve">NPMT-I233, NPMT-I235</t>
  </si>
  <si>
    <t xml:space="preserve">NPMT-I326, NPMT-I345</t>
  </si>
  <si>
    <t xml:space="preserve">NPMT-I185, NPMT-I198</t>
  </si>
  <si>
    <t xml:space="preserve">NPMT-I288, NPMT-I289</t>
  </si>
  <si>
    <t xml:space="preserve">NPMT-I257, NPMT-I259</t>
  </si>
  <si>
    <t xml:space="preserve">NPMT-I242, NPMT-I243</t>
  </si>
  <si>
    <t xml:space="preserve">NPMT-I350, NPMT-I352</t>
  </si>
  <si>
    <t xml:space="preserve">NPMT-I330, NPMT-I331</t>
  </si>
  <si>
    <t xml:space="preserve">NPMT-I093, NPMT-I094</t>
  </si>
  <si>
    <t xml:space="preserve">NPMT-I226, NPMT-I227</t>
  </si>
  <si>
    <t xml:space="preserve">NPMT-I301, NPMT-I302</t>
  </si>
  <si>
    <t xml:space="preserve">NPMT-I177, NPMT-I216</t>
  </si>
  <si>
    <t xml:space="preserve">NPMT-I334, NPMT-I336</t>
  </si>
  <si>
    <t xml:space="preserve">NPMT-I002, NPMT-I008, NPMT-I038, NPMT-I073</t>
  </si>
  <si>
    <t xml:space="preserve">NPMT-I011, NPMT-I014</t>
  </si>
  <si>
    <t xml:space="preserve">NPMT-I341, NPMT-I342</t>
  </si>
  <si>
    <t xml:space="preserve">NPMT-I200, NPMT-I201, NPMT-I267</t>
  </si>
  <si>
    <t xml:space="preserve">NPMT-I204, NPMT-I316</t>
  </si>
  <si>
    <t xml:space="preserve">NPMT-I010, NPMT-I013</t>
  </si>
  <si>
    <t xml:space="preserve">NPMT-I141, NPMT-I284, NPMT-I300</t>
  </si>
  <si>
    <t xml:space="preserve">NPMT-I258, NPMT-I260</t>
  </si>
  <si>
    <t xml:space="preserve">NPMT-I070, NPMT-I152</t>
  </si>
  <si>
    <t xml:space="preserve">NPMT-I005, NPMT-I021, NPMT-I022, NPMT-I076, NPMT-I149</t>
  </si>
  <si>
    <t xml:space="preserve">NPMT-I032, NPMT-I035, NPMT-I036, NPMT-I054</t>
  </si>
  <si>
    <t xml:space="preserve">NPMT-I239, NPMT-I240</t>
  </si>
  <si>
    <t xml:space="preserve">10.1242/dev.134502</t>
  </si>
  <si>
    <t xml:space="preserve">He et al., 2016, Development</t>
  </si>
  <si>
    <t xml:space="preserve">NPMT-I091, NPMT-I311, NPMT-I312, NPMT-I313</t>
  </si>
  <si>
    <t xml:space="preserve">NPMT-I066, NPMT-I071</t>
  </si>
  <si>
    <t xml:space="preserve">NPMT-I080, NPMT-I081</t>
  </si>
  <si>
    <t xml:space="preserve">NPMT-I025, NPMT-I028</t>
  </si>
  <si>
    <t xml:space="preserve">NPMT-I182, NPMT-I190, NPMT-I194</t>
  </si>
  <si>
    <t xml:space="preserve">NPMT-I181, NPMT-I189, NPMT-I193</t>
  </si>
  <si>
    <t xml:space="preserve">NPMT-I175, NPMT-I176, NPMT-I261, NPMT-I262</t>
  </si>
  <si>
    <t xml:space="preserve">NPMT-I164, NPMT-I178</t>
  </si>
  <si>
    <t xml:space="preserve">NPMT-I170, NPMT-I171</t>
  </si>
  <si>
    <t xml:space="preserve">NPMT-I162, NPMT-I210</t>
  </si>
</sst>
</file>

<file path=xl/styles.xml><?xml version="1.0" encoding="utf-8"?>
<styleSheet xmlns="http://schemas.openxmlformats.org/spreadsheetml/2006/main">
  <numFmts count="3">
    <numFmt numFmtId="164" formatCode="General"/>
    <numFmt numFmtId="165" formatCode="\+0;\-0;0"/>
    <numFmt numFmtId="166" formatCode="0.0%"/>
  </numFmts>
  <fonts count="17">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i val="true"/>
      <sz val="10"/>
      <color rgb="FF595959"/>
      <name val="Arial"/>
      <family val="0"/>
      <charset val="1"/>
    </font>
    <font>
      <b val="true"/>
      <sz val="12"/>
      <color rgb="FF1F3864"/>
      <name val="Arial"/>
      <family val="0"/>
      <charset val="1"/>
    </font>
    <font>
      <b val="true"/>
      <sz val="10"/>
      <name val="Arial"/>
      <family val="0"/>
      <charset val="1"/>
    </font>
    <font>
      <sz val="10"/>
      <name val="Arial"/>
      <family val="0"/>
      <charset val="1"/>
    </font>
    <font>
      <b val="true"/>
      <sz val="10"/>
      <color rgb="FFFFFFFF"/>
      <name val="Arial"/>
      <family val="0"/>
      <charset val="1"/>
    </font>
    <font>
      <u val="single"/>
      <sz val="10"/>
      <color rgb="FF0563C1"/>
      <name val="Arial"/>
      <family val="0"/>
      <charset val="1"/>
    </font>
    <font>
      <sz val="10"/>
      <name val="Arial"/>
      <family val="2"/>
    </font>
    <font>
      <b val="true"/>
      <sz val="16"/>
      <color rgb="FF1F3864"/>
      <name val="Arial"/>
      <family val="0"/>
      <charset val="1"/>
    </font>
    <font>
      <i val="true"/>
      <sz val="9"/>
      <color rgb="FF595959"/>
      <name val="Arial"/>
      <family val="0"/>
      <charset val="1"/>
    </font>
    <font>
      <b val="true"/>
      <sz val="18"/>
      <color rgb="FF000000"/>
      <name val="Calibri"/>
      <family val="2"/>
    </font>
    <font>
      <sz val="10"/>
      <color rgb="FF000000"/>
      <name val="Calibri"/>
      <family val="2"/>
    </font>
    <font>
      <b val="true"/>
      <sz val="10"/>
      <color rgb="FF000000"/>
      <name val="Calibri"/>
      <family val="2"/>
    </font>
  </fonts>
  <fills count="5">
    <fill>
      <patternFill patternType="none"/>
    </fill>
    <fill>
      <patternFill patternType="gray125"/>
    </fill>
    <fill>
      <patternFill patternType="solid">
        <fgColor rgb="FF1F3864"/>
        <bgColor rgb="FF333333"/>
      </patternFill>
    </fill>
    <fill>
      <patternFill patternType="solid">
        <fgColor rgb="FFD9E2F3"/>
        <bgColor rgb="FFD9D9D9"/>
      </patternFill>
    </fill>
    <fill>
      <patternFill patternType="solid">
        <fgColor rgb="FFFFF4CE"/>
        <bgColor rgb="FFF9F9F9"/>
      </patternFill>
    </fill>
  </fills>
  <borders count="3">
    <border diagonalUp="false" diagonalDown="false">
      <left/>
      <right/>
      <top/>
      <bottom/>
      <diagonal/>
    </border>
    <border diagonalUp="false" diagonalDown="false">
      <left/>
      <right/>
      <top/>
      <bottom style="medium">
        <color rgb="FF2E5395"/>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left" vertical="top" textRotation="0" wrapText="true" indent="0" shrinkToFit="false"/>
      <protection locked="true" hidden="false"/>
    </xf>
    <xf numFmtId="164" fontId="9" fillId="2" borderId="2" xfId="0" applyFont="true" applyBorder="true" applyAlignment="true" applyProtection="false">
      <alignment horizontal="general" vertical="center" textRotation="0" wrapText="true" indent="0" shrinkToFit="false"/>
      <protection locked="true" hidden="false"/>
    </xf>
    <xf numFmtId="164" fontId="8" fillId="0" borderId="2" xfId="0" applyFont="true" applyBorder="true" applyAlignment="true" applyProtection="false">
      <alignment horizontal="general" vertical="center" textRotation="0" wrapText="false" indent="0" shrinkToFit="false"/>
      <protection locked="true" hidden="false"/>
    </xf>
    <xf numFmtId="165" fontId="8" fillId="0" borderId="2" xfId="0" applyFont="true" applyBorder="true" applyAlignment="true" applyProtection="false">
      <alignment horizontal="center" vertical="center" textRotation="0" wrapText="false" indent="0" shrinkToFit="false"/>
      <protection locked="true" hidden="false"/>
    </xf>
    <xf numFmtId="164" fontId="10" fillId="0" borderId="2" xfId="0" applyFont="true" applyBorder="true" applyAlignment="true" applyProtection="false">
      <alignment horizontal="general" vertical="center"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2" xfId="0" applyFont="true" applyBorder="true" applyAlignment="false" applyProtection="false">
      <alignment horizontal="general" vertical="bottom" textRotation="0" wrapText="false" indent="0" shrinkToFit="false"/>
      <protection locked="true" hidden="false"/>
    </xf>
    <xf numFmtId="164" fontId="7" fillId="0" borderId="2" xfId="0" applyFont="true" applyBorder="true" applyAlignment="false" applyProtection="false">
      <alignment horizontal="general" vertical="bottom" textRotation="0" wrapText="false" indent="0" shrinkToFit="false"/>
      <protection locked="true" hidden="false"/>
    </xf>
    <xf numFmtId="164" fontId="9" fillId="2" borderId="2" xfId="0" applyFont="true" applyBorder="true" applyAlignment="false" applyProtection="false">
      <alignment horizontal="general" vertical="bottom" textRotation="0" wrapText="false" indent="0" shrinkToFit="false"/>
      <protection locked="true" hidden="false"/>
    </xf>
    <xf numFmtId="166" fontId="8" fillId="0" borderId="2" xfId="0" applyFont="true" applyBorder="true" applyAlignment="false" applyProtection="false">
      <alignment horizontal="general" vertical="bottom" textRotation="0" wrapText="false" indent="0" shrinkToFit="false"/>
      <protection locked="true" hidden="false"/>
    </xf>
    <xf numFmtId="164" fontId="7" fillId="3" borderId="2" xfId="0" applyFont="true" applyBorder="true" applyAlignment="false" applyProtection="false">
      <alignment horizontal="general" vertical="bottom" textRotation="0" wrapText="false" indent="0" shrinkToFit="false"/>
      <protection locked="true" hidden="false"/>
    </xf>
    <xf numFmtId="166" fontId="7" fillId="3" borderId="2"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8" fillId="0" borderId="2" xfId="0" applyFont="true" applyBorder="true" applyAlignment="true" applyProtection="false">
      <alignment horizontal="general" vertical="top" textRotation="0" wrapText="true" indent="0" shrinkToFit="false"/>
      <protection locked="true" hidden="false"/>
    </xf>
    <xf numFmtId="165" fontId="8" fillId="0" borderId="2" xfId="0" applyFont="true" applyBorder="true" applyAlignment="true" applyProtection="false">
      <alignment horizontal="general" vertical="top" textRotation="0" wrapText="true" indent="0" shrinkToFit="false"/>
      <protection locked="true" hidden="false"/>
    </xf>
    <xf numFmtId="164" fontId="10" fillId="0" borderId="2" xfId="0" applyFont="true" applyBorder="true" applyAlignment="true" applyProtection="false">
      <alignment horizontal="general" vertical="top" textRotation="0" wrapText="false" indent="0" shrinkToFit="false"/>
      <protection locked="true" hidden="false"/>
    </xf>
    <xf numFmtId="164" fontId="8" fillId="4" borderId="2" xfId="0" applyFont="true" applyBorder="true" applyAlignment="true" applyProtection="false">
      <alignment horizontal="general" vertical="top" textRotation="0" wrapText="false" indent="0" shrinkToFit="false"/>
      <protection locked="true" hidden="false"/>
    </xf>
    <xf numFmtId="164" fontId="8" fillId="4" borderId="2" xfId="0" applyFont="true" applyBorder="true" applyAlignment="true" applyProtection="false">
      <alignment horizontal="general" vertical="top" textRotation="0" wrapText="true" indent="0" shrinkToFit="false"/>
      <protection locked="true" hidden="false"/>
    </xf>
    <xf numFmtId="164" fontId="8" fillId="0" borderId="2"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1E7B34"/>
          <bgColor rgb="FF000000"/>
        </patternFill>
      </fill>
    </dxf>
    <dxf>
      <fill>
        <patternFill patternType="solid">
          <fgColor rgb="FFB42318"/>
          <bgColor rgb="FF000000"/>
        </patternFill>
      </fill>
    </dxf>
    <dxf>
      <fill>
        <patternFill patternType="solid">
          <fgColor rgb="FF0563C1"/>
          <bgColor rgb="FF000000"/>
        </patternFill>
      </fill>
    </dxf>
    <dxf>
      <fill>
        <patternFill patternType="solid">
          <fgColor rgb="FFFFF4CE"/>
          <bgColor rgb="FF000000"/>
        </patternFill>
      </fill>
    </dxf>
    <dxf>
      <font>
        <name val="Arial"/>
        <charset val="1"/>
        <family val="0"/>
        <b val="1"/>
        <color rgb="FF1E7B34"/>
        <sz val="10"/>
      </font>
    </dxf>
    <dxf>
      <font>
        <name val="Arial"/>
        <charset val="1"/>
        <family val="0"/>
        <b val="1"/>
        <color rgb="FFB42318"/>
        <sz val="10"/>
      </font>
    </dxf>
    <dxf>
      <fill>
        <patternFill>
          <bgColor rgb="FFF8D7DA"/>
        </patternFill>
      </fill>
    </dxf>
    <dxf>
      <fill>
        <patternFill>
          <bgColor rgb="FFFFF4CE"/>
        </patternFill>
      </fill>
    </dxf>
  </dxfs>
  <colors>
    <indexedColors>
      <rgbColor rgb="FF000000"/>
      <rgbColor rgb="FFFFFFFF"/>
      <rgbColor rgb="FFFF0000"/>
      <rgbColor rgb="FF00FF00"/>
      <rgbColor rgb="FF0000FF"/>
      <rgbColor rgb="FFFFFF00"/>
      <rgbColor rgb="FFFF00FF"/>
      <rgbColor rgb="FF00FFFF"/>
      <rgbColor rgb="FF800000"/>
      <rgbColor rgb="FF1E7B34"/>
      <rgbColor rgb="FF000080"/>
      <rgbColor rgb="FF808000"/>
      <rgbColor rgb="FF800080"/>
      <rgbColor rgb="FF008080"/>
      <rgbColor rgb="FFBFBFBF"/>
      <rgbColor rgb="FF878787"/>
      <rgbColor rgb="FF9999FF"/>
      <rgbColor rgb="FFC0504D"/>
      <rgbColor rgb="FFFFF4CE"/>
      <rgbColor rgb="FFD9E2F3"/>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F9F9F9"/>
      <rgbColor rgb="FFCCFFCC"/>
      <rgbColor rgb="FFFFFF99"/>
      <rgbColor rgb="FF99CCFF"/>
      <rgbColor rgb="FFFF99CC"/>
      <rgbColor rgb="FFCC99FF"/>
      <rgbColor rgb="FFF8D7DA"/>
      <rgbColor rgb="FF4F81BD"/>
      <rgbColor rgb="FF33CCCC"/>
      <rgbColor rgb="FF99CC00"/>
      <rgbColor rgb="FFFFCC00"/>
      <rgbColor rgb="FFC9A227"/>
      <rgbColor rgb="FFFF6600"/>
      <rgbColor rgb="FF595959"/>
      <rgbColor rgb="FF969696"/>
      <rgbColor rgb="FF1F3864"/>
      <rgbColor rgb="FF4F9D69"/>
      <rgbColor rgb="FF003300"/>
      <rgbColor rgb="FF333300"/>
      <rgbColor rgb="FFB42318"/>
      <rgbColor rgb="FF993366"/>
      <rgbColor rgb="FF2E5395"/>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style val="10"/>
  <c:chart>
    <c:title>
      <c:tx>
        <c:rich>
          <a:bodyPr rot="0"/>
          <a:lstStyle/>
          <a:p>
            <a:pPr>
              <a:defRPr sz="1300" b="0" u="none" strike="noStrike">
                <a:uFillTx/>
                <a:latin typeface="Arial"/>
              </a:defRPr>
            </a:pPr>
            <a:r>
              <a:rPr sz="1800" b="1" u="none" strike="noStrike">
                <a:solidFill>
                  <a:srgbClr val="000000"/>
                </a:solidFill>
                <a:uFillTx/>
                <a:latin typeface="Calibri"/>
              </a:rPr>
              <a:t>Cell type of supporting evidence</a:t>
            </a:r>
          </a:p>
        </c:rich>
      </c:tx>
      <c:overlay val="0"/>
      <c:spPr>
        <a:noFill/>
        <a:ln w="0">
          <a:noFill/>
        </a:ln>
      </c:spPr>
    </c:title>
    <c:autoTitleDeleted val="0"/>
    <c:plotArea>
      <c:barChart>
        <c:barDir val="bar"/>
        <c:grouping val="clustered"/>
        <c:varyColors val="0"/>
        <c:ser>
          <c:idx val="0"/>
          <c:order val="0"/>
          <c:tx>
            <c:strRef>
              <c:f>'Summary statistics'!B15</c:f>
              <c:strCache>
                <c:ptCount val="1"/>
                <c:pt idx="0">
                  <c:v>Interactions</c:v>
                </c:pt>
              </c:strCache>
            </c:strRef>
          </c:tx>
          <c:spPr>
            <a:solidFill>
              <a:srgbClr val="2E5395"/>
            </a:solidFill>
            <a:ln w="12600">
              <a:solidFill>
                <a:srgbClr val="F9F9F9"/>
              </a:solidFill>
              <a:round/>
            </a:ln>
          </c:spPr>
          <c:invertIfNegative val="0"/>
          <c:dLbls>
            <c:txPr>
              <a:bodyPr wrap="square"/>
              <a:lstStyle/>
              <a:p>
                <a:pPr>
                  <a:defRPr sz="1000" b="0" u="none" strike="noStrike">
                    <a:solidFill>
                      <a:srgbClr val="000000"/>
                    </a:solidFill>
                    <a:uFillTx/>
                    <a:latin typeface="Calibri"/>
                  </a:defRPr>
                </a:pPr>
              </a:p>
            </c:txPr>
            <c:dLblPos val="outEnd"/>
            <c:showLegendKey val="0"/>
            <c:showVal val="1"/>
            <c:showCatName val="0"/>
            <c:showSerName val="0"/>
            <c:showPercent val="0"/>
            <c:separator>; </c:separator>
            <c:showLeaderLines val="1"/>
            <c:leaderLines>
              <c:spPr>
                <a:ln w="0">
                  <a:solidFill>
                    <a:srgbClr val="F9F9F9"/>
                  </a:solidFill>
                </a:ln>
              </c:spPr>
            </c:leaderLines>
            <c:extLst>
              <c:ext xmlns:c15="http://schemas.microsoft.com/office/drawing/2012/chart" uri="{CE6537A1-D6FC-4f65-9D91-7224C49458BB}">
                <c15:showLeaderLines val="1"/>
              </c:ext>
            </c:extLst>
          </c:dLbls>
          <c:cat>
            <c:strRef>
              <c:f>'Summary statistics'!$A$16:$A$18</c:f>
              <c:strCache>
                <c:ptCount val="3"/>
                <c:pt idx="0">
                  <c:v>NP / nucleus pulposus</c:v>
                </c:pt>
                <c:pt idx="1">
                  <c:v>Chondrocyte / cartilage</c:v>
                </c:pt>
                <c:pt idx="2">
                  <c:v>Other / not reported</c:v>
                </c:pt>
              </c:strCache>
            </c:strRef>
          </c:cat>
          <c:val>
            <c:numRef>
              <c:f>'Summary statistics'!$B$16:$B$18</c:f>
              <c:numCache>
                <c:formatCode>General</c:formatCode>
                <c:ptCount val="3"/>
                <c:pt idx="0">
                  <c:v>108</c:v>
                </c:pt>
                <c:pt idx="1">
                  <c:v>75</c:v>
                </c:pt>
                <c:pt idx="2">
                  <c:v>170</c:v>
                </c:pt>
              </c:numCache>
            </c:numRef>
          </c:val>
        </c:ser>
        <c:gapWidth val="150"/>
        <c:overlap val="0"/>
        <c:axId val="34555119"/>
        <c:axId val="8808308"/>
      </c:barChart>
      <c:catAx>
        <c:axId val="3455511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808308"/>
        <c:crosses val="autoZero"/>
        <c:auto val="1"/>
        <c:lblAlgn val="ctr"/>
        <c:lblOffset val="100"/>
        <c:noMultiLvlLbl val="0"/>
      </c:catAx>
      <c:valAx>
        <c:axId val="8808308"/>
        <c:scaling>
          <c:orientation val="minMax"/>
        </c:scaling>
        <c:delete val="0"/>
        <c:axPos val="l"/>
        <c:majorGridlines>
          <c:spPr>
            <a:ln w="9360">
              <a:solidFill>
                <a:srgbClr val="878787"/>
              </a:solidFill>
              <a:round/>
            </a:ln>
          </c:spPr>
        </c:majorGridlines>
        <c:title>
          <c:tx>
            <c:rich>
              <a:bodyPr rot="0"/>
              <a:lstStyle/>
              <a:p>
                <a:pPr>
                  <a:defRPr sz="1300" b="0" u="none" strike="noStrike">
                    <a:uFillTx/>
                    <a:latin typeface="Arial"/>
                  </a:defRPr>
                </a:pPr>
                <a:r>
                  <a:rPr sz="1000" b="1" u="none" strike="noStrike">
                    <a:solidFill>
                      <a:srgbClr val="000000"/>
                    </a:solidFill>
                    <a:uFillTx/>
                    <a:latin typeface="Calibri"/>
                  </a:rPr>
                  <a:t>Interactions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34555119"/>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style val="10"/>
  <c:chart>
    <c:title>
      <c:tx>
        <c:rich>
          <a:bodyPr rot="0"/>
          <a:lstStyle/>
          <a:p>
            <a:pPr>
              <a:defRPr sz="1300" b="0" u="none" strike="noStrike">
                <a:uFillTx/>
                <a:latin typeface="Arial"/>
              </a:defRPr>
            </a:pPr>
            <a:r>
              <a:rPr sz="1800" b="1" u="none" strike="noStrike">
                <a:solidFill>
                  <a:srgbClr val="000000"/>
                </a:solidFill>
                <a:uFillTx/>
                <a:latin typeface="Calibri"/>
              </a:rPr>
              <a:t>Species of experimental model</a:t>
            </a:r>
          </a:p>
        </c:rich>
      </c:tx>
      <c:overlay val="0"/>
      <c:spPr>
        <a:noFill/>
        <a:ln w="0">
          <a:noFill/>
        </a:ln>
      </c:spPr>
    </c:title>
    <c:autoTitleDeleted val="0"/>
    <c:plotArea>
      <c:barChart>
        <c:barDir val="bar"/>
        <c:grouping val="clustered"/>
        <c:varyColors val="0"/>
        <c:ser>
          <c:idx val="0"/>
          <c:order val="0"/>
          <c:tx>
            <c:strRef>
              <c:f>'Summary statistics'!B23</c:f>
              <c:strCache>
                <c:ptCount val="1"/>
                <c:pt idx="0">
                  <c:v>Interactions</c:v>
                </c:pt>
              </c:strCache>
            </c:strRef>
          </c:tx>
          <c:spPr>
            <a:solidFill>
              <a:srgbClr val="4F9D69"/>
            </a:solidFill>
            <a:ln w="12600">
              <a:solidFill>
                <a:srgbClr val="F9F9F9"/>
              </a:solidFill>
              <a:round/>
            </a:ln>
          </c:spPr>
          <c:invertIfNegative val="0"/>
          <c:dLbls>
            <c:txPr>
              <a:bodyPr wrap="square"/>
              <a:lstStyle/>
              <a:p>
                <a:pPr>
                  <a:defRPr sz="1000" b="0" u="none" strike="noStrike">
                    <a:solidFill>
                      <a:srgbClr val="000000"/>
                    </a:solidFill>
                    <a:uFillTx/>
                    <a:latin typeface="Calibri"/>
                  </a:defRPr>
                </a:pPr>
              </a:p>
            </c:txPr>
            <c:dLblPos val="outEnd"/>
            <c:showLegendKey val="0"/>
            <c:showVal val="1"/>
            <c:showCatName val="0"/>
            <c:showSerName val="0"/>
            <c:showPercent val="0"/>
            <c:separator>; </c:separator>
            <c:showLeaderLines val="1"/>
            <c:leaderLines>
              <c:spPr>
                <a:ln w="0">
                  <a:solidFill>
                    <a:srgbClr val="F9F9F9"/>
                  </a:solidFill>
                </a:ln>
              </c:spPr>
            </c:leaderLines>
            <c:extLst>
              <c:ext xmlns:c15="http://schemas.microsoft.com/office/drawing/2012/chart" uri="{CE6537A1-D6FC-4f65-9D91-7224C49458BB}">
                <c15:showLeaderLines val="1"/>
              </c:ext>
            </c:extLst>
          </c:dLbls>
          <c:cat>
            <c:strRef>
              <c:f>'Summary statistics'!$A$24:$A$26</c:f>
              <c:strCache>
                <c:ptCount val="3"/>
                <c:pt idx="0">
                  <c:v>Human</c:v>
                </c:pt>
                <c:pt idx="1">
                  <c:v>Animal</c:v>
                </c:pt>
                <c:pt idx="2">
                  <c:v>Other / unspecified</c:v>
                </c:pt>
              </c:strCache>
            </c:strRef>
          </c:cat>
          <c:val>
            <c:numRef>
              <c:f>'Summary statistics'!$B$24:$B$26</c:f>
              <c:numCache>
                <c:formatCode>General</c:formatCode>
                <c:ptCount val="3"/>
                <c:pt idx="0">
                  <c:v>114</c:v>
                </c:pt>
                <c:pt idx="1">
                  <c:v>75</c:v>
                </c:pt>
                <c:pt idx="2">
                  <c:v>164</c:v>
                </c:pt>
              </c:numCache>
            </c:numRef>
          </c:val>
        </c:ser>
        <c:gapWidth val="150"/>
        <c:overlap val="0"/>
        <c:axId val="26257874"/>
        <c:axId val="59367604"/>
      </c:barChart>
      <c:catAx>
        <c:axId val="2625787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59367604"/>
        <c:crosses val="autoZero"/>
        <c:auto val="1"/>
        <c:lblAlgn val="ctr"/>
        <c:lblOffset val="100"/>
        <c:noMultiLvlLbl val="0"/>
      </c:catAx>
      <c:valAx>
        <c:axId val="59367604"/>
        <c:scaling>
          <c:orientation val="minMax"/>
        </c:scaling>
        <c:delete val="0"/>
        <c:axPos val="l"/>
        <c:majorGridlines>
          <c:spPr>
            <a:ln w="9360">
              <a:solidFill>
                <a:srgbClr val="878787"/>
              </a:solidFill>
              <a:round/>
            </a:ln>
          </c:spPr>
        </c:majorGridlines>
        <c:title>
          <c:tx>
            <c:rich>
              <a:bodyPr rot="0"/>
              <a:lstStyle/>
              <a:p>
                <a:pPr>
                  <a:defRPr sz="1300" b="0" u="none" strike="noStrike">
                    <a:uFillTx/>
                    <a:latin typeface="Arial"/>
                  </a:defRPr>
                </a:pPr>
                <a:r>
                  <a:rPr sz="1000" b="1" u="none" strike="noStrike">
                    <a:solidFill>
                      <a:srgbClr val="000000"/>
                    </a:solidFill>
                    <a:uFillTx/>
                    <a:latin typeface="Calibri"/>
                  </a:rPr>
                  <a:t>Interactions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6257874"/>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style val="10"/>
  <c:chart>
    <c:title>
      <c:tx>
        <c:rich>
          <a:bodyPr rot="0"/>
          <a:lstStyle/>
          <a:p>
            <a:pPr>
              <a:defRPr sz="1300" b="0" u="none" strike="noStrike">
                <a:uFillTx/>
                <a:latin typeface="Arial"/>
              </a:defRPr>
            </a:pPr>
            <a:r>
              <a:rPr sz="1800" b="1" u="none" strike="noStrike">
                <a:solidFill>
                  <a:srgbClr val="000000"/>
                </a:solidFill>
                <a:uFillTx/>
                <a:latin typeface="Calibri"/>
              </a:rPr>
              <a:t>Experimental setting</a:t>
            </a:r>
          </a:p>
        </c:rich>
      </c:tx>
      <c:overlay val="0"/>
      <c:spPr>
        <a:noFill/>
        <a:ln w="0">
          <a:noFill/>
        </a:ln>
      </c:spPr>
    </c:title>
    <c:autoTitleDeleted val="0"/>
    <c:plotArea>
      <c:barChart>
        <c:barDir val="bar"/>
        <c:grouping val="clustered"/>
        <c:varyColors val="0"/>
        <c:ser>
          <c:idx val="0"/>
          <c:order val="0"/>
          <c:tx>
            <c:strRef>
              <c:f>'Summary statistics'!B31</c:f>
              <c:strCache>
                <c:ptCount val="1"/>
                <c:pt idx="0">
                  <c:v>Interactions</c:v>
                </c:pt>
              </c:strCache>
            </c:strRef>
          </c:tx>
          <c:spPr>
            <a:solidFill>
              <a:srgbClr val="C0504D"/>
            </a:solidFill>
            <a:ln w="12600">
              <a:solidFill>
                <a:srgbClr val="F9F9F9"/>
              </a:solidFill>
              <a:round/>
            </a:ln>
          </c:spPr>
          <c:invertIfNegative val="0"/>
          <c:dLbls>
            <c:txPr>
              <a:bodyPr wrap="square"/>
              <a:lstStyle/>
              <a:p>
                <a:pPr>
                  <a:defRPr sz="1000" b="0" u="none" strike="noStrike">
                    <a:solidFill>
                      <a:srgbClr val="000000"/>
                    </a:solidFill>
                    <a:uFillTx/>
                    <a:latin typeface="Calibri"/>
                  </a:defRPr>
                </a:pPr>
              </a:p>
            </c:txPr>
            <c:dLblPos val="outEnd"/>
            <c:showLegendKey val="0"/>
            <c:showVal val="1"/>
            <c:showCatName val="0"/>
            <c:showSerName val="0"/>
            <c:showPercent val="0"/>
            <c:separator>; </c:separator>
            <c:showLeaderLines val="1"/>
            <c:leaderLines>
              <c:spPr>
                <a:ln w="0">
                  <a:solidFill>
                    <a:srgbClr val="F9F9F9"/>
                  </a:solidFill>
                </a:ln>
              </c:spPr>
            </c:leaderLines>
            <c:extLst>
              <c:ext xmlns:c15="http://schemas.microsoft.com/office/drawing/2012/chart" uri="{CE6537A1-D6FC-4f65-9D91-7224C49458BB}">
                <c15:showLeaderLines val="1"/>
              </c:ext>
            </c:extLst>
          </c:dLbls>
          <c:cat>
            <c:strRef>
              <c:f>'Summary statistics'!$A$32:$A$36</c:f>
              <c:strCache>
                <c:ptCount val="5"/>
                <c:pt idx="0">
                  <c:v>In vitro</c:v>
                </c:pt>
                <c:pt idx="1">
                  <c:v>Ex vivo</c:v>
                </c:pt>
                <c:pt idx="2">
                  <c:v>In vivo</c:v>
                </c:pt>
                <c:pt idx="3">
                  <c:v>Mixed</c:v>
                </c:pt>
                <c:pt idx="4">
                  <c:v>Not reported</c:v>
                </c:pt>
              </c:strCache>
            </c:strRef>
          </c:cat>
          <c:val>
            <c:numRef>
              <c:f>'Summary statistics'!$B$32:$B$36</c:f>
              <c:numCache>
                <c:formatCode>General</c:formatCode>
                <c:ptCount val="5"/>
                <c:pt idx="0">
                  <c:v>166</c:v>
                </c:pt>
                <c:pt idx="1">
                  <c:v>16</c:v>
                </c:pt>
                <c:pt idx="2">
                  <c:v>7</c:v>
                </c:pt>
                <c:pt idx="3">
                  <c:v>10</c:v>
                </c:pt>
                <c:pt idx="4">
                  <c:v>154</c:v>
                </c:pt>
              </c:numCache>
            </c:numRef>
          </c:val>
        </c:ser>
        <c:gapWidth val="150"/>
        <c:overlap val="0"/>
        <c:axId val="82922561"/>
        <c:axId val="21334620"/>
      </c:barChart>
      <c:catAx>
        <c:axId val="8292256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21334620"/>
        <c:crosses val="autoZero"/>
        <c:auto val="1"/>
        <c:lblAlgn val="ctr"/>
        <c:lblOffset val="100"/>
        <c:noMultiLvlLbl val="0"/>
      </c:catAx>
      <c:valAx>
        <c:axId val="21334620"/>
        <c:scaling>
          <c:orientation val="minMax"/>
        </c:scaling>
        <c:delete val="0"/>
        <c:axPos val="l"/>
        <c:majorGridlines>
          <c:spPr>
            <a:ln w="9360">
              <a:solidFill>
                <a:srgbClr val="878787"/>
              </a:solidFill>
              <a:round/>
            </a:ln>
          </c:spPr>
        </c:majorGridlines>
        <c:title>
          <c:tx>
            <c:rich>
              <a:bodyPr rot="0"/>
              <a:lstStyle/>
              <a:p>
                <a:pPr>
                  <a:defRPr sz="1300" b="0" u="none" strike="noStrike">
                    <a:uFillTx/>
                    <a:latin typeface="Arial"/>
                  </a:defRPr>
                </a:pPr>
                <a:r>
                  <a:rPr sz="1000" b="1" u="none" strike="noStrike">
                    <a:solidFill>
                      <a:srgbClr val="000000"/>
                    </a:solidFill>
                    <a:uFillTx/>
                    <a:latin typeface="Calibri"/>
                  </a:rPr>
                  <a:t>Interactions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2922561"/>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style val="10"/>
  <c:chart>
    <c:title>
      <c:tx>
        <c:rich>
          <a:bodyPr rot="0"/>
          <a:lstStyle/>
          <a:p>
            <a:pPr>
              <a:defRPr sz="1300" b="0" u="none" strike="noStrike">
                <a:uFillTx/>
                <a:latin typeface="Arial"/>
              </a:defRPr>
            </a:pPr>
            <a:r>
              <a:rPr sz="1800" b="1" u="none" strike="noStrike">
                <a:solidFill>
                  <a:srgbClr val="000000"/>
                </a:solidFill>
                <a:uFillTx/>
                <a:latin typeface="Calibri"/>
              </a:rPr>
              <a:t>Interactions by functional module</a:t>
            </a:r>
          </a:p>
        </c:rich>
      </c:tx>
      <c:overlay val="0"/>
      <c:spPr>
        <a:noFill/>
        <a:ln w="0">
          <a:noFill/>
        </a:ln>
      </c:spPr>
    </c:title>
    <c:autoTitleDeleted val="0"/>
    <c:plotArea>
      <c:barChart>
        <c:barDir val="bar"/>
        <c:grouping val="clustered"/>
        <c:varyColors val="0"/>
        <c:ser>
          <c:idx val="0"/>
          <c:order val="0"/>
          <c:tx>
            <c:strRef>
              <c:f>'Summary statistics'!B41</c:f>
              <c:strCache>
                <c:ptCount val="1"/>
                <c:pt idx="0">
                  <c:v>Outgoing (source)</c:v>
                </c:pt>
              </c:strCache>
            </c:strRef>
          </c:tx>
          <c:spPr>
            <a:solidFill>
              <a:srgbClr val="4F81BD"/>
            </a:solidFill>
            <a:ln w="12600">
              <a:solidFill>
                <a:srgbClr val="F9F9F9"/>
              </a:solidFill>
              <a:round/>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F9F9F9"/>
                  </a:solidFill>
                </a:ln>
              </c:spPr>
            </c:leaderLines>
            <c:extLst>
              <c:ext xmlns:c15="http://schemas.microsoft.com/office/drawing/2012/chart" uri="{CE6537A1-D6FC-4f65-9D91-7224C49458BB}">
                <c15:showLeaderLines val="1"/>
              </c:ext>
            </c:extLst>
          </c:dLbls>
          <c:cat>
            <c:strRef>
              <c:f>'Summary statistics'!$A$42:$A$53</c:f>
              <c:strCache>
                <c:ptCount val="12"/>
                <c:pt idx="0">
                  <c:v>Cytokines, chemokines, proteases &amp; others</c:v>
                </c:pt>
                <c:pt idx="1">
                  <c:v>Growth factors</c:v>
                </c:pt>
                <c:pt idx="2">
                  <c:v>Transcription Factors</c:v>
                </c:pt>
                <c:pt idx="3">
                  <c:v>Ion channels &amp; related</c:v>
                </c:pt>
                <c:pt idx="4">
                  <c:v>Metabolic &amp; related</c:v>
                </c:pt>
                <c:pt idx="5">
                  <c:v>ECM anabolism &amp; phenotype markers</c:v>
                </c:pt>
                <c:pt idx="6">
                  <c:v>Mechanical stimuli &amp; its receptors</c:v>
                </c:pt>
                <c:pt idx="7">
                  <c:v>Cell survival, apoptosis &amp; mitophagy/DNA-damage</c:v>
                </c:pt>
                <c:pt idx="8">
                  <c:v>Oxidative-stress defense &amp; proteostasis</c:v>
                </c:pt>
                <c:pt idx="9">
                  <c:v>MAPK &amp; stress-activated kinases</c:v>
                </c:pt>
                <c:pt idx="10">
                  <c:v>Rho GTPases, cytoskeletal &amp; Hippo regulators</c:v>
                </c:pt>
                <c:pt idx="11">
                  <c:v>Other / unclassified</c:v>
                </c:pt>
              </c:strCache>
            </c:strRef>
          </c:cat>
          <c:val>
            <c:numRef>
              <c:f>'Summary statistics'!$B$42:$B$53</c:f>
              <c:numCache>
                <c:formatCode>General</c:formatCode>
                <c:ptCount val="12"/>
                <c:pt idx="0">
                  <c:v>0</c:v>
                </c:pt>
                <c:pt idx="1">
                  <c:v>0</c:v>
                </c:pt>
                <c:pt idx="2">
                  <c:v>131</c:v>
                </c:pt>
                <c:pt idx="3">
                  <c:v>20</c:v>
                </c:pt>
                <c:pt idx="4">
                  <c:v>57</c:v>
                </c:pt>
                <c:pt idx="5">
                  <c:v>0</c:v>
                </c:pt>
                <c:pt idx="6">
                  <c:v>27</c:v>
                </c:pt>
                <c:pt idx="7">
                  <c:v>6</c:v>
                </c:pt>
                <c:pt idx="8">
                  <c:v>16</c:v>
                </c:pt>
                <c:pt idx="9">
                  <c:v>43</c:v>
                </c:pt>
                <c:pt idx="10">
                  <c:v>40</c:v>
                </c:pt>
                <c:pt idx="11">
                  <c:v>13</c:v>
                </c:pt>
              </c:numCache>
            </c:numRef>
          </c:val>
        </c:ser>
        <c:ser>
          <c:idx val="1"/>
          <c:order val="1"/>
          <c:tx>
            <c:strRef>
              <c:f>'Summary statistics'!C41</c:f>
              <c:strCache>
                <c:ptCount val="1"/>
                <c:pt idx="0">
                  <c:v>Incoming (target)</c:v>
                </c:pt>
              </c:strCache>
            </c:strRef>
          </c:tx>
          <c:spPr>
            <a:solidFill>
              <a:srgbClr val="C0504D"/>
            </a:solidFill>
            <a:ln w="12600">
              <a:solidFill>
                <a:srgbClr val="F9F9F9"/>
              </a:solidFill>
              <a:round/>
            </a:ln>
          </c:spPr>
          <c:invertIfNegative val="0"/>
          <c:dLbls>
            <c:txPr>
              <a:bodyPr wrap="none"/>
              <a:lstStyle/>
              <a:p>
                <a:pPr>
                  <a:defRPr sz="1000" b="0" u="none" strike="noStrike">
                    <a:uFillTx/>
                    <a:latin typeface="Arial"/>
                  </a:defRPr>
                </a:pPr>
              </a:p>
            </c:txPr>
            <c:showLegendKey val="0"/>
            <c:showVal val="0"/>
            <c:showCatName val="0"/>
            <c:showSerName val="0"/>
            <c:showPercent val="0"/>
            <c:separator> </c:separator>
            <c:showLeaderLines val="1"/>
            <c:leaderLines>
              <c:spPr>
                <a:ln w="0">
                  <a:solidFill>
                    <a:srgbClr val="F9F9F9"/>
                  </a:solidFill>
                </a:ln>
              </c:spPr>
            </c:leaderLines>
            <c:extLst>
              <c:ext xmlns:c15="http://schemas.microsoft.com/office/drawing/2012/chart" uri="{CE6537A1-D6FC-4f65-9D91-7224C49458BB}">
                <c15:showLeaderLines val="1"/>
              </c:ext>
            </c:extLst>
          </c:dLbls>
          <c:cat>
            <c:strRef>
              <c:f>'Summary statistics'!$A$42:$A$53</c:f>
              <c:strCache>
                <c:ptCount val="12"/>
                <c:pt idx="0">
                  <c:v>Cytokines, chemokines, proteases &amp; others</c:v>
                </c:pt>
                <c:pt idx="1">
                  <c:v>Growth factors</c:v>
                </c:pt>
                <c:pt idx="2">
                  <c:v>Transcription Factors</c:v>
                </c:pt>
                <c:pt idx="3">
                  <c:v>Ion channels &amp; related</c:v>
                </c:pt>
                <c:pt idx="4">
                  <c:v>Metabolic &amp; related</c:v>
                </c:pt>
                <c:pt idx="5">
                  <c:v>ECM anabolism &amp; phenotype markers</c:v>
                </c:pt>
                <c:pt idx="6">
                  <c:v>Mechanical stimuli &amp; its receptors</c:v>
                </c:pt>
                <c:pt idx="7">
                  <c:v>Cell survival, apoptosis &amp; mitophagy/DNA-damage</c:v>
                </c:pt>
                <c:pt idx="8">
                  <c:v>Oxidative-stress defense &amp; proteostasis</c:v>
                </c:pt>
                <c:pt idx="9">
                  <c:v>MAPK &amp; stress-activated kinases</c:v>
                </c:pt>
                <c:pt idx="10">
                  <c:v>Rho GTPases, cytoskeletal &amp; Hippo regulators</c:v>
                </c:pt>
                <c:pt idx="11">
                  <c:v>Other / unclassified</c:v>
                </c:pt>
              </c:strCache>
            </c:strRef>
          </c:cat>
          <c:val>
            <c:numRef>
              <c:f>'Summary statistics'!$C$42:$C$53</c:f>
              <c:numCache>
                <c:formatCode>General</c:formatCode>
                <c:ptCount val="12"/>
                <c:pt idx="0">
                  <c:v>40</c:v>
                </c:pt>
                <c:pt idx="1">
                  <c:v>32</c:v>
                </c:pt>
                <c:pt idx="2">
                  <c:v>64</c:v>
                </c:pt>
                <c:pt idx="3">
                  <c:v>25</c:v>
                </c:pt>
                <c:pt idx="4">
                  <c:v>64</c:v>
                </c:pt>
                <c:pt idx="5">
                  <c:v>19</c:v>
                </c:pt>
                <c:pt idx="6">
                  <c:v>15</c:v>
                </c:pt>
                <c:pt idx="7">
                  <c:v>19</c:v>
                </c:pt>
                <c:pt idx="8">
                  <c:v>7</c:v>
                </c:pt>
                <c:pt idx="9">
                  <c:v>19</c:v>
                </c:pt>
                <c:pt idx="10">
                  <c:v>23</c:v>
                </c:pt>
                <c:pt idx="11">
                  <c:v>26</c:v>
                </c:pt>
              </c:numCache>
            </c:numRef>
          </c:val>
        </c:ser>
        <c:gapWidth val="150"/>
        <c:overlap val="0"/>
        <c:axId val="87465865"/>
        <c:axId val="47230285"/>
      </c:barChart>
      <c:catAx>
        <c:axId val="8746586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47230285"/>
        <c:crosses val="autoZero"/>
        <c:auto val="1"/>
        <c:lblAlgn val="ctr"/>
        <c:lblOffset val="100"/>
        <c:noMultiLvlLbl val="0"/>
      </c:catAx>
      <c:valAx>
        <c:axId val="47230285"/>
        <c:scaling>
          <c:orientation val="minMax"/>
        </c:scaling>
        <c:delete val="0"/>
        <c:axPos val="l"/>
        <c:majorGridlines>
          <c:spPr>
            <a:ln w="9360">
              <a:solidFill>
                <a:srgbClr val="878787"/>
              </a:solidFill>
              <a:round/>
            </a:ln>
          </c:spPr>
        </c:majorGridlines>
        <c:title>
          <c:tx>
            <c:rich>
              <a:bodyPr rot="0"/>
              <a:lstStyle/>
              <a:p>
                <a:pPr>
                  <a:defRPr sz="1300" b="0" u="none" strike="noStrike">
                    <a:uFillTx/>
                    <a:latin typeface="Arial"/>
                  </a:defRPr>
                </a:pPr>
                <a:r>
                  <a:rPr sz="1000" b="1" u="none" strike="noStrike">
                    <a:solidFill>
                      <a:srgbClr val="000000"/>
                    </a:solidFill>
                    <a:uFillTx/>
                    <a:latin typeface="Calibri"/>
                  </a:rPr>
                  <a:t>Interactions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p>
        </c:txPr>
        <c:crossAx val="87465865"/>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cs:colorStyle>
</file>

<file path=xl/charts/colors2.xml><?xml version="1.0" encoding="utf-8"?>
<cs:colorStyle xmlns:cs="http://schemas.microsoft.com/office/drawing/2012/chartStyle" xmlns:a="http://schemas.openxmlformats.org/drawingml/2006/main" meth="cycle" id="10">
  <a:schemeClr val="accent1"/>
</cs:colorStyle>
</file>

<file path=xl/charts/colors3.xml><?xml version="1.0" encoding="utf-8"?>
<cs:colorStyle xmlns:cs="http://schemas.microsoft.com/office/drawing/2012/chartStyle" xmlns:a="http://schemas.openxmlformats.org/drawingml/2006/main" meth="cycle" id="10">
  <a:schemeClr val="accent1"/>
</cs:colorStyle>
</file>

<file path=xl/charts/colors4.xml><?xml version="1.0" encoding="utf-8"?>
<cs:colorStyle xmlns:cs="http://schemas.microsoft.com/office/drawing/2012/chartStyle" xmlns:a="http://schemas.openxmlformats.org/drawingml/2006/main" meth="cycle" id="10">
  <a:schemeClr val="accent1"/>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0</xdr:colOff>
      <xdr:row>3</xdr:row>
      <xdr:rowOff>0</xdr:rowOff>
    </xdr:from>
    <xdr:to>
      <xdr:col>12</xdr:col>
      <xdr:colOff>398880</xdr:colOff>
      <xdr:row>15</xdr:row>
      <xdr:rowOff>53640</xdr:rowOff>
    </xdr:to>
    <xdr:graphicFrame>
      <xdr:nvGraphicFramePr>
        <xdr:cNvPr id="1" name="Chart 1"/>
        <xdr:cNvGraphicFramePr/>
      </xdr:nvGraphicFramePr>
      <xdr:xfrm>
        <a:off x="9726840" y="631080"/>
        <a:ext cx="4679640" cy="23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17</xdr:row>
      <xdr:rowOff>0</xdr:rowOff>
    </xdr:from>
    <xdr:to>
      <xdr:col>12</xdr:col>
      <xdr:colOff>398880</xdr:colOff>
      <xdr:row>29</xdr:row>
      <xdr:rowOff>53640</xdr:rowOff>
    </xdr:to>
    <xdr:graphicFrame>
      <xdr:nvGraphicFramePr>
        <xdr:cNvPr id="2" name="Chart 2"/>
        <xdr:cNvGraphicFramePr/>
      </xdr:nvGraphicFramePr>
      <xdr:xfrm>
        <a:off x="9726840" y="3298320"/>
        <a:ext cx="4679640" cy="23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5</xdr:col>
      <xdr:colOff>0</xdr:colOff>
      <xdr:row>31</xdr:row>
      <xdr:rowOff>0</xdr:rowOff>
    </xdr:from>
    <xdr:to>
      <xdr:col>12</xdr:col>
      <xdr:colOff>398880</xdr:colOff>
      <xdr:row>43</xdr:row>
      <xdr:rowOff>53640</xdr:rowOff>
    </xdr:to>
    <xdr:graphicFrame>
      <xdr:nvGraphicFramePr>
        <xdr:cNvPr id="3" name="Chart 3"/>
        <xdr:cNvGraphicFramePr/>
      </xdr:nvGraphicFramePr>
      <xdr:xfrm>
        <a:off x="9726840" y="5965200"/>
        <a:ext cx="4679640" cy="23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47</xdr:row>
      <xdr:rowOff>0</xdr:rowOff>
    </xdr:from>
    <xdr:to>
      <xdr:col>15</xdr:col>
      <xdr:colOff>364320</xdr:colOff>
      <xdr:row>65</xdr:row>
      <xdr:rowOff>170640</xdr:rowOff>
    </xdr:to>
    <xdr:graphicFrame>
      <xdr:nvGraphicFramePr>
        <xdr:cNvPr id="4" name="Chart 4"/>
        <xdr:cNvGraphicFramePr/>
      </xdr:nvGraphicFramePr>
      <xdr:xfrm>
        <a:off x="9726840" y="9013320"/>
        <a:ext cx="6479640" cy="359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ables/table1.xml><?xml version="1.0" encoding="utf-8"?>
<table xmlns="http://schemas.openxmlformats.org/spreadsheetml/2006/main" id="1" name="Interactions" displayName="Interactions" ref="A1:T354" headerRowCount="1" totalsRowCount="0" totalsRowShown="0">
  <autoFilter ref="A1:T354"/>
  <tableColumns count="20">
    <tableColumn id="1" name="Interaction ID"/>
    <tableColumn id="2" name="Source"/>
    <tableColumn id="3" name="Regulation"/>
    <tableColumn id="4" name="Target"/>
    <tableColumn id="5" name="Sign"/>
    <tableColumn id="6" name="Citation"/>
    <tableColumn id="7" name="DOI(s)"/>
    <tableColumn id="8" name="PMID(s)"/>
    <tableColumn id="9" name="Cell-type group"/>
    <tableColumn id="10" name="Species group"/>
    <tableColumn id="11" name="Culture group"/>
    <tableColumn id="12" name="Evidence note"/>
    <tableColumn id="13" name="Retraction screen"/>
    <tableColumn id="14" name="Also cited in Table S2"/>
    <tableColumn id="15" name="Source module"/>
    <tableColumn id="16" name="Target module"/>
    <tableColumn id="17" name="Cell type (as reported)"/>
    <tableColumn id="18" name="Experimental model (as reported)"/>
    <tableColumn id="19" name="Culture (as reported)"/>
    <tableColumn id="20" name="Full reference(s)"/>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i.org/10.1016/j.bbrc.2017.05.086" TargetMode="External"/><Relationship Id="rId3" Type="http://schemas.openxmlformats.org/officeDocument/2006/relationships/hyperlink" Target="https://doi.org/10.1111/jcmm.18048" TargetMode="External"/><Relationship Id="rId4" Type="http://schemas.openxmlformats.org/officeDocument/2006/relationships/hyperlink" Target="https://doi.org/10.1002/jcp.21904" TargetMode="External"/><Relationship Id="rId5" Type="http://schemas.openxmlformats.org/officeDocument/2006/relationships/hyperlink" Target="https://doi.org/10.1016/j.lfs.2019.116565" TargetMode="External"/><Relationship Id="rId6" Type="http://schemas.openxmlformats.org/officeDocument/2006/relationships/hyperlink" Target="https://doi.org/10.1186/s12967-016-0833-9" TargetMode="External"/><Relationship Id="rId7" Type="http://schemas.openxmlformats.org/officeDocument/2006/relationships/hyperlink" Target="https://doi.org/10.1186/s13018-015-0296-3" TargetMode="External"/><Relationship Id="rId8" Type="http://schemas.openxmlformats.org/officeDocument/2006/relationships/hyperlink" Target="https://doi.org/10.3892/mmr.2013.1729" TargetMode="External"/><Relationship Id="rId9" Type="http://schemas.openxmlformats.org/officeDocument/2006/relationships/hyperlink" Target="https://doi.org/10.1111/jcmm.18048" TargetMode="External"/><Relationship Id="rId10" Type="http://schemas.openxmlformats.org/officeDocument/2006/relationships/hyperlink" Target="https://doi.org/10.1016/j.joca.2017.08.019" TargetMode="External"/><Relationship Id="rId11" Type="http://schemas.openxmlformats.org/officeDocument/2006/relationships/hyperlink" Target="https://doi.org/10.1160/th13-06-0484" TargetMode="External"/><Relationship Id="rId12" Type="http://schemas.openxmlformats.org/officeDocument/2006/relationships/hyperlink" Target="https://doi.org/10.1126/science.277.5325.567" TargetMode="External"/><Relationship Id="rId13" Type="http://schemas.openxmlformats.org/officeDocument/2006/relationships/hyperlink" Target="https://doi.org/10.1016/j.joca.2017.08.019" TargetMode="External"/><Relationship Id="rId14" Type="http://schemas.openxmlformats.org/officeDocument/2006/relationships/hyperlink" Target="https://doi.org/10.1160/th13-06-0484" TargetMode="External"/><Relationship Id="rId15" Type="http://schemas.openxmlformats.org/officeDocument/2006/relationships/hyperlink" Target="https://doi.org/10.1126/science.277.5325.567" TargetMode="External"/><Relationship Id="rId16" Type="http://schemas.openxmlformats.org/officeDocument/2006/relationships/hyperlink" Target="https://doi.org/10.1016/j.cmet.2005.06.005" TargetMode="External"/><Relationship Id="rId17" Type="http://schemas.openxmlformats.org/officeDocument/2006/relationships/hyperlink" Target="https://doi.org/10.1186/ar4254" TargetMode="External"/><Relationship Id="rId18" Type="http://schemas.openxmlformats.org/officeDocument/2006/relationships/hyperlink" Target="https://doi.org/10.1016/j.freeradbiomed.2009.02.019" TargetMode="External"/><Relationship Id="rId19" Type="http://schemas.openxmlformats.org/officeDocument/2006/relationships/hyperlink" Target="https://doi.org/10.1038/s42255-019-0157-1" TargetMode="External"/><Relationship Id="rId20" Type="http://schemas.openxmlformats.org/officeDocument/2006/relationships/hyperlink" Target="https://doi.org/10.1007/s00418-005-0026-8" TargetMode="External"/><Relationship Id="rId21" Type="http://schemas.openxmlformats.org/officeDocument/2006/relationships/hyperlink" Target="https://doi.org/10.1186/s12967-016-0833-9" TargetMode="External"/><Relationship Id="rId22" Type="http://schemas.openxmlformats.org/officeDocument/2006/relationships/hyperlink" Target="https://doi.org/10.1186/s12967-016-0833-9" TargetMode="External"/><Relationship Id="rId23" Type="http://schemas.openxmlformats.org/officeDocument/2006/relationships/hyperlink" Target="https://doi.org/10.1002/1529-0131(200103)44:3%3C595::aid-anr108%3E3.0.co;2-8" TargetMode="External"/><Relationship Id="rId24" Type="http://schemas.openxmlformats.org/officeDocument/2006/relationships/hyperlink" Target="https://doi.org/10.1242/dev.134502" TargetMode="External"/><Relationship Id="rId25" Type="http://schemas.openxmlformats.org/officeDocument/2006/relationships/hyperlink" Target="https://doi.org/10.18632/oncotarget.3631" TargetMode="External"/><Relationship Id="rId26" Type="http://schemas.openxmlformats.org/officeDocument/2006/relationships/hyperlink" Target="https://doi.org/10.1038/s41598-021-81838-9" TargetMode="External"/><Relationship Id="rId27" Type="http://schemas.openxmlformats.org/officeDocument/2006/relationships/hyperlink" Target="https://doi.org/10.1371/journal.pone.0158619" TargetMode="External"/><Relationship Id="rId28" Type="http://schemas.openxmlformats.org/officeDocument/2006/relationships/hyperlink" Target="https://doi.org/10.18632/oncotarget.3631" TargetMode="External"/><Relationship Id="rId29" Type="http://schemas.openxmlformats.org/officeDocument/2006/relationships/hyperlink" Target="https://doi.org/10.1038/s41598-021-81838-9" TargetMode="External"/><Relationship Id="rId30" Type="http://schemas.openxmlformats.org/officeDocument/2006/relationships/hyperlink" Target="https://doi.org/10.3390/antiox13060626" TargetMode="External"/><Relationship Id="rId31" Type="http://schemas.openxmlformats.org/officeDocument/2006/relationships/hyperlink" Target="https://doi.org/10.1016/j.ajpath.2024.05.004" TargetMode="External"/><Relationship Id="rId32" Type="http://schemas.openxmlformats.org/officeDocument/2006/relationships/hyperlink" Target="https://doi.org/10.1186/s13018-023-03815-4" TargetMode="External"/><Relationship Id="rId33" Type="http://schemas.openxmlformats.org/officeDocument/2006/relationships/hyperlink" Target="https://doi.org/10.12659/msm.913726" TargetMode="External"/><Relationship Id="rId34" Type="http://schemas.openxmlformats.org/officeDocument/2006/relationships/hyperlink" Target="https://doi.org/10.1038/sj.emboj.7601126" TargetMode="External"/><Relationship Id="rId35" Type="http://schemas.openxmlformats.org/officeDocument/2006/relationships/hyperlink" Target="https://doi.org/10.1186/s13018-023-03815-4" TargetMode="External"/><Relationship Id="rId36" Type="http://schemas.openxmlformats.org/officeDocument/2006/relationships/hyperlink" Target="https://doi.org/10.1186/s13018-023-03815-4" TargetMode="External"/><Relationship Id="rId37" Type="http://schemas.openxmlformats.org/officeDocument/2006/relationships/hyperlink" Target="https://doi.org/10.1002/jcb.21198" TargetMode="External"/><Relationship Id="rId38" Type="http://schemas.openxmlformats.org/officeDocument/2006/relationships/hyperlink" Target="https://doi.org/10.1111/jcmm.18048" TargetMode="External"/><Relationship Id="rId39" Type="http://schemas.openxmlformats.org/officeDocument/2006/relationships/hyperlink" Target="https://doi.org/10.1038/cdd.2017.186" TargetMode="External"/><Relationship Id="rId40" Type="http://schemas.openxmlformats.org/officeDocument/2006/relationships/hyperlink" Target="https://doi.org/10.1016/j.ajpath.2024.05.004" TargetMode="External"/><Relationship Id="rId41" Type="http://schemas.openxmlformats.org/officeDocument/2006/relationships/hyperlink" Target="https://doi.org/10.1016/j.joca.2008.04.027" TargetMode="External"/><Relationship Id="rId42" Type="http://schemas.openxmlformats.org/officeDocument/2006/relationships/hyperlink" Target="https://doi.org/10.1002/dvdy.20323" TargetMode="External"/><Relationship Id="rId43" Type="http://schemas.openxmlformats.org/officeDocument/2006/relationships/hyperlink" Target="https://doi.org/10.1002/jbmr.4019" TargetMode="External"/><Relationship Id="rId44" Type="http://schemas.openxmlformats.org/officeDocument/2006/relationships/hyperlink" Target="https://doi.org/10.3390/cells9010147" TargetMode="External"/><Relationship Id="rId45" Type="http://schemas.openxmlformats.org/officeDocument/2006/relationships/hyperlink" Target="https://doi.org/10.22203/ecm.v032a08" TargetMode="External"/><Relationship Id="rId46" Type="http://schemas.openxmlformats.org/officeDocument/2006/relationships/hyperlink" Target="https://doi.org/10.1016/j.steroids.2005.04.007" TargetMode="External"/><Relationship Id="rId47" Type="http://schemas.openxmlformats.org/officeDocument/2006/relationships/hyperlink" Target="https://doi.org/10.1016/j.intimp.2020.106681" TargetMode="External"/><Relationship Id="rId48" Type="http://schemas.openxmlformats.org/officeDocument/2006/relationships/hyperlink" Target="https://doi.org/10.1038/s41598-021-82067-w" TargetMode="External"/><Relationship Id="rId49" Type="http://schemas.openxmlformats.org/officeDocument/2006/relationships/hyperlink" Target="https://doi.org/10.1038/s12276-020-0441-x" TargetMode="External"/><Relationship Id="rId50" Type="http://schemas.openxmlformats.org/officeDocument/2006/relationships/hyperlink" Target="https://doi.org/10.1016/0167-4838(83)90140-1" TargetMode="External"/><Relationship Id="rId51" Type="http://schemas.openxmlformats.org/officeDocument/2006/relationships/hyperlink" Target="https://doi.org/10.1038/sj.cdd.4402028" TargetMode="External"/><Relationship Id="rId52" Type="http://schemas.openxmlformats.org/officeDocument/2006/relationships/hyperlink" Target="https://doi.org/10.1007/s12551-017-0308-0" TargetMode="External"/><Relationship Id="rId53" Type="http://schemas.openxmlformats.org/officeDocument/2006/relationships/hyperlink" Target="https://doi.org/10.1186/s13018-023-03815-4" TargetMode="External"/><Relationship Id="rId54" Type="http://schemas.openxmlformats.org/officeDocument/2006/relationships/hyperlink" Target="https://doi.org/10.1002/art.38868" TargetMode="External"/><Relationship Id="rId55" Type="http://schemas.openxmlformats.org/officeDocument/2006/relationships/hyperlink" Target="https://doi.org/10.1038/s12276-022-00829-6" TargetMode="External"/><Relationship Id="rId56" Type="http://schemas.openxmlformats.org/officeDocument/2006/relationships/hyperlink" Target="https://doi.org/10.1111/j.1476-5381.2009.00143.x" TargetMode="External"/><Relationship Id="rId57" Type="http://schemas.openxmlformats.org/officeDocument/2006/relationships/hyperlink" Target="https://doi.org/10.1038/s12276-024-01168-4" TargetMode="External"/><Relationship Id="rId58" Type="http://schemas.openxmlformats.org/officeDocument/2006/relationships/hyperlink" Target="https://doi.org/10.1038/srep29916" TargetMode="External"/><Relationship Id="rId59" Type="http://schemas.openxmlformats.org/officeDocument/2006/relationships/hyperlink" Target="https://doi.org/10.3389/fphar.2024.1476255" TargetMode="External"/><Relationship Id="rId60" Type="http://schemas.openxmlformats.org/officeDocument/2006/relationships/hyperlink" Target="https://doi.org/10.1186/s13075-018-1723-8" TargetMode="External"/><Relationship Id="rId61" Type="http://schemas.openxmlformats.org/officeDocument/2006/relationships/hyperlink" Target="https://doi.org/10.1242/jcs.100107" TargetMode="External"/><Relationship Id="rId62" Type="http://schemas.openxmlformats.org/officeDocument/2006/relationships/hyperlink" Target="https://doi.org/10.1002/art.24073" TargetMode="External"/><Relationship Id="rId63" Type="http://schemas.openxmlformats.org/officeDocument/2006/relationships/hyperlink" Target="https://doi.org/10.1038/nm.2146" TargetMode="External"/><Relationship Id="rId64" Type="http://schemas.openxmlformats.org/officeDocument/2006/relationships/hyperlink" Target="https://doi.org/10.1083/jcb.200211089" TargetMode="External"/><Relationship Id="rId65" Type="http://schemas.openxmlformats.org/officeDocument/2006/relationships/hyperlink" Target="https://doi.org/10.1371/journal.pgen.1002356" TargetMode="External"/><Relationship Id="rId66" Type="http://schemas.openxmlformats.org/officeDocument/2006/relationships/hyperlink" Target="https://doi.org/10.1074/jbc.m411793200" TargetMode="External"/><Relationship Id="rId67" Type="http://schemas.openxmlformats.org/officeDocument/2006/relationships/hyperlink" Target="https://doi.org/10.3892/ijmm.2021.4956" TargetMode="External"/><Relationship Id="rId68" Type="http://schemas.openxmlformats.org/officeDocument/2006/relationships/hyperlink" Target="https://doi.org/10.3390/ijms241210004" TargetMode="External"/><Relationship Id="rId69" Type="http://schemas.openxmlformats.org/officeDocument/2006/relationships/hyperlink" Target="https://doi.org/10.1186/s12950-024-00398-7" TargetMode="External"/><Relationship Id="rId70" Type="http://schemas.openxmlformats.org/officeDocument/2006/relationships/hyperlink" Target="https://doi.org/10.1371/journal.pgen.1002356" TargetMode="External"/><Relationship Id="rId71" Type="http://schemas.openxmlformats.org/officeDocument/2006/relationships/hyperlink" Target="https://doi.org/10.1016/j.bbrc.2017.05.086" TargetMode="External"/><Relationship Id="rId72" Type="http://schemas.openxmlformats.org/officeDocument/2006/relationships/hyperlink" Target="https://doi.org/10.1111/jcmm.18048" TargetMode="External"/><Relationship Id="rId73" Type="http://schemas.openxmlformats.org/officeDocument/2006/relationships/hyperlink" Target="https://doi.org/10.1016/j.matbio.2020.09.003" TargetMode="External"/><Relationship Id="rId74" Type="http://schemas.openxmlformats.org/officeDocument/2006/relationships/hyperlink" Target="https://doi.org/10.1016/j.gene.2019.04.020" TargetMode="External"/><Relationship Id="rId75" Type="http://schemas.openxmlformats.org/officeDocument/2006/relationships/hyperlink" Target="https://doi.org/10.1186/s12967-016-0833-9" TargetMode="External"/><Relationship Id="rId76" Type="http://schemas.openxmlformats.org/officeDocument/2006/relationships/hyperlink" Target="https://doi.org/10.1083/jcb.200111073" TargetMode="External"/><Relationship Id="rId77" Type="http://schemas.openxmlformats.org/officeDocument/2006/relationships/hyperlink" Target="https://doi.org/10.1083/jcb.200805048" TargetMode="External"/><Relationship Id="rId78" Type="http://schemas.openxmlformats.org/officeDocument/2006/relationships/hyperlink" Target="https://doi.org/10.1371/journal.pone.0082045" TargetMode="External"/><Relationship Id="rId79" Type="http://schemas.openxmlformats.org/officeDocument/2006/relationships/hyperlink" Target="https://doi.org/10.1371/journal.pone.0082045" TargetMode="External"/><Relationship Id="rId80" Type="http://schemas.openxmlformats.org/officeDocument/2006/relationships/hyperlink" Target="https://doi.org/10.1124/mol.109.056473" TargetMode="External"/><Relationship Id="rId81" Type="http://schemas.openxmlformats.org/officeDocument/2006/relationships/hyperlink" Target="https://doi.org/10.1046/j.1471-4159.2001.00495.x" TargetMode="External"/><Relationship Id="rId82" Type="http://schemas.openxmlformats.org/officeDocument/2006/relationships/hyperlink" Target="https://doi.org/10.1074/jbc.m115.702571" TargetMode="External"/><Relationship Id="rId83" Type="http://schemas.openxmlformats.org/officeDocument/2006/relationships/hyperlink" Target="https://doi.org/10.1016/j.joca.2008.04.027" TargetMode="External"/><Relationship Id="rId84" Type="http://schemas.openxmlformats.org/officeDocument/2006/relationships/hyperlink" Target="https://doi.org/10.1074/jbc.m115.702571" TargetMode="External"/><Relationship Id="rId85" Type="http://schemas.openxmlformats.org/officeDocument/2006/relationships/hyperlink" Target="https://doi.org/10.1016/j.joca.2008.04.027" TargetMode="External"/><Relationship Id="rId86" Type="http://schemas.openxmlformats.org/officeDocument/2006/relationships/hyperlink" Target="https://doi.org/10.1038/emm.2000.18" TargetMode="External"/><Relationship Id="rId87" Type="http://schemas.openxmlformats.org/officeDocument/2006/relationships/hyperlink" Target="https://doi.org/10.1073/pnas.0808249105" TargetMode="External"/><Relationship Id="rId88" Type="http://schemas.openxmlformats.org/officeDocument/2006/relationships/hyperlink" Target="https://doi.org/10.1016/j.jot.2025.01.013" TargetMode="External"/><Relationship Id="rId89" Type="http://schemas.openxmlformats.org/officeDocument/2006/relationships/hyperlink" Target="https://doi.org/10.1359/jbmr.070322" TargetMode="External"/><Relationship Id="rId90" Type="http://schemas.openxmlformats.org/officeDocument/2006/relationships/hyperlink" Target="https://doi.org/10.1038/sj.onc.1203362" TargetMode="External"/><Relationship Id="rId91" Type="http://schemas.openxmlformats.org/officeDocument/2006/relationships/hyperlink" Target="https://doi.org/10.1097/01.brs.0000159096.11248.6d" TargetMode="External"/><Relationship Id="rId92" Type="http://schemas.openxmlformats.org/officeDocument/2006/relationships/hyperlink" Target="https://doi.org/10.1097/01.brs.0000159096.11248.6d" TargetMode="External"/><Relationship Id="rId93" Type="http://schemas.openxmlformats.org/officeDocument/2006/relationships/hyperlink" Target="https://doi.org/10.1074/jbc.m201283200" TargetMode="External"/><Relationship Id="rId94" Type="http://schemas.openxmlformats.org/officeDocument/2006/relationships/hyperlink" Target="https://doi.org/10.1038/srep23258" TargetMode="External"/><Relationship Id="rId95" Type="http://schemas.openxmlformats.org/officeDocument/2006/relationships/hyperlink" Target="https://doi.org/10.1007/s10753-022-01770-6" TargetMode="External"/><Relationship Id="rId96" Type="http://schemas.openxmlformats.org/officeDocument/2006/relationships/hyperlink" Target="https://doi.org/10.1074/jbc.m201283200" TargetMode="External"/><Relationship Id="rId97" Type="http://schemas.openxmlformats.org/officeDocument/2006/relationships/hyperlink" Target="https://doi.org/10.1038/srep23258" TargetMode="External"/><Relationship Id="rId98" Type="http://schemas.openxmlformats.org/officeDocument/2006/relationships/hyperlink" Target="https://doi.org/10.1101/gad.1482906" TargetMode="External"/><Relationship Id="rId99" Type="http://schemas.openxmlformats.org/officeDocument/2006/relationships/hyperlink" Target="https://doi.org/10.1002/lary.20157" TargetMode="External"/><Relationship Id="rId100" Type="http://schemas.openxmlformats.org/officeDocument/2006/relationships/hyperlink" Target="https://doi.org/10.1074/jbc.m608995200" TargetMode="External"/><Relationship Id="rId101" Type="http://schemas.openxmlformats.org/officeDocument/2006/relationships/hyperlink" Target="https://doi.org/10.1007/bf00229313" TargetMode="External"/><Relationship Id="rId102" Type="http://schemas.openxmlformats.org/officeDocument/2006/relationships/hyperlink" Target="https://doi.org/10.1182/blood-2005-09-3541" TargetMode="External"/><Relationship Id="rId103" Type="http://schemas.openxmlformats.org/officeDocument/2006/relationships/hyperlink" Target="https://doi.org/10.1042/cs20150622" TargetMode="External"/><Relationship Id="rId104" Type="http://schemas.openxmlformats.org/officeDocument/2006/relationships/hyperlink" Target="https://doi.org/10.1016/j.intimp.2019.04.012" TargetMode="External"/><Relationship Id="rId105" Type="http://schemas.openxmlformats.org/officeDocument/2006/relationships/hyperlink" Target="https://doi.org/10.1002/art.38791" TargetMode="External"/><Relationship Id="rId106" Type="http://schemas.openxmlformats.org/officeDocument/2006/relationships/hyperlink" Target="https://doi.org/10.1074/jbc.m508510200" TargetMode="External"/><Relationship Id="rId107" Type="http://schemas.openxmlformats.org/officeDocument/2006/relationships/hyperlink" Target="https://doi.org/10.1016/j.cell.2006.03.046" TargetMode="External"/><Relationship Id="rId108" Type="http://schemas.openxmlformats.org/officeDocument/2006/relationships/hyperlink" Target="https://doi.org/10.1074/jbc.m111.284224" TargetMode="External"/><Relationship Id="rId109" Type="http://schemas.openxmlformats.org/officeDocument/2006/relationships/hyperlink" Target="https://doi.org/10.1038/ncb1676" TargetMode="External"/><Relationship Id="rId110" Type="http://schemas.openxmlformats.org/officeDocument/2006/relationships/hyperlink" Target="https://doi.org/10.1126/science.1068712" TargetMode="External"/><Relationship Id="rId111" Type="http://schemas.openxmlformats.org/officeDocument/2006/relationships/hyperlink" Target="https://doi.org/10.1002/art.23504" TargetMode="External"/><Relationship Id="rId112" Type="http://schemas.openxmlformats.org/officeDocument/2006/relationships/hyperlink" Target="https://doi.org/10.1016/j.ydbio.2010.02.024" TargetMode="External"/><Relationship Id="rId113" Type="http://schemas.openxmlformats.org/officeDocument/2006/relationships/hyperlink" Target="https://doi.org/10.1016/j.ydbio.2010.02.024" TargetMode="External"/><Relationship Id="rId114" Type="http://schemas.openxmlformats.org/officeDocument/2006/relationships/hyperlink" Target="https://doi.org/10.1101/gad.1230704" TargetMode="External"/><Relationship Id="rId115" Type="http://schemas.openxmlformats.org/officeDocument/2006/relationships/hyperlink" Target="https://doi.org/10.3390/ijms222011082" TargetMode="External"/><Relationship Id="rId116" Type="http://schemas.openxmlformats.org/officeDocument/2006/relationships/hyperlink" Target="https://doi.org/10.1002/art.38868" TargetMode="External"/><Relationship Id="rId117" Type="http://schemas.openxmlformats.org/officeDocument/2006/relationships/hyperlink" Target="https://doi.org/10.1038/s12276-022-00829-6" TargetMode="External"/><Relationship Id="rId118" Type="http://schemas.openxmlformats.org/officeDocument/2006/relationships/hyperlink" Target="https://doi.org/10.1038/s41419-019-2202-0" TargetMode="External"/><Relationship Id="rId119" Type="http://schemas.openxmlformats.org/officeDocument/2006/relationships/hyperlink" Target="https://doi.org/10.1016/j.joca.2008.04.006" TargetMode="External"/><Relationship Id="rId120" Type="http://schemas.openxmlformats.org/officeDocument/2006/relationships/hyperlink" Target="https://doi.org/10.1074/jbc.m112.365882" TargetMode="External"/><Relationship Id="rId121" Type="http://schemas.openxmlformats.org/officeDocument/2006/relationships/hyperlink" Target="https://doi.org/10.1038/onc.2014.164" TargetMode="External"/><Relationship Id="rId122" Type="http://schemas.openxmlformats.org/officeDocument/2006/relationships/hyperlink" Target="https://doi.org/10.1186/ar1765" TargetMode="External"/><Relationship Id="rId123" Type="http://schemas.openxmlformats.org/officeDocument/2006/relationships/hyperlink" Target="https://doi.org/10.1128/mcb.00015-07" TargetMode="External"/><Relationship Id="rId124" Type="http://schemas.openxmlformats.org/officeDocument/2006/relationships/hyperlink" Target="https://doi.org/10.21037/atm-21-2701" TargetMode="External"/><Relationship Id="rId125" Type="http://schemas.openxmlformats.org/officeDocument/2006/relationships/hyperlink" Target="https://doi.org/10.1186/s11658-023-00489-y" TargetMode="External"/><Relationship Id="rId126" Type="http://schemas.openxmlformats.org/officeDocument/2006/relationships/hyperlink" Target="https://doi.org/10.1016/j.joca.2014.06.031" TargetMode="External"/><Relationship Id="rId127" Type="http://schemas.openxmlformats.org/officeDocument/2006/relationships/hyperlink" Target="https://doi.org/10.1016/j.jot.2023.03.002" TargetMode="External"/><Relationship Id="rId128" Type="http://schemas.openxmlformats.org/officeDocument/2006/relationships/hyperlink" Target="https://doi.org/10.1371/journal.pone.0039679" TargetMode="External"/><Relationship Id="rId129" Type="http://schemas.openxmlformats.org/officeDocument/2006/relationships/hyperlink" Target="https://doi.org/10.1126/science.1165946" TargetMode="External"/><Relationship Id="rId130" Type="http://schemas.openxmlformats.org/officeDocument/2006/relationships/hyperlink" Target="https://doi.org/10.15252/embj.201489062" TargetMode="External"/><Relationship Id="rId131" Type="http://schemas.openxmlformats.org/officeDocument/2006/relationships/hyperlink" Target="https://doi.org/10.1002/jcb.1163" TargetMode="External"/><Relationship Id="rId132" Type="http://schemas.openxmlformats.org/officeDocument/2006/relationships/hyperlink" Target="https://doi.org/10.1002/humu.9503" TargetMode="External"/><Relationship Id="rId133" Type="http://schemas.openxmlformats.org/officeDocument/2006/relationships/hyperlink" Target="https://doi.org/10.1074/jbc.271.7.3355" TargetMode="External"/><Relationship Id="rId134" Type="http://schemas.openxmlformats.org/officeDocument/2006/relationships/hyperlink" Target="https://doi.org/10.1172/jci.insight.131382" TargetMode="External"/><Relationship Id="rId135" Type="http://schemas.openxmlformats.org/officeDocument/2006/relationships/hyperlink" Target="https://doi.org/10.1002/jcb.25099" TargetMode="External"/><Relationship Id="rId136" Type="http://schemas.openxmlformats.org/officeDocument/2006/relationships/hyperlink" Target="https://doi.org/10.1128/mcb.00409-10" TargetMode="External"/><Relationship Id="rId137" Type="http://schemas.openxmlformats.org/officeDocument/2006/relationships/hyperlink" Target="https://doi.org/10.1016/s0022-2836(02)01404-3" TargetMode="External"/><Relationship Id="rId138" Type="http://schemas.openxmlformats.org/officeDocument/2006/relationships/hyperlink" Target="https://doi.org/10.1038/s41598-017-17289-y" TargetMode="External"/><Relationship Id="rId139" Type="http://schemas.openxmlformats.org/officeDocument/2006/relationships/hyperlink" Target="https://doi.org/10.1038/s41388-018-0417-7" TargetMode="External"/><Relationship Id="rId140" Type="http://schemas.openxmlformats.org/officeDocument/2006/relationships/hyperlink" Target="https://doi.org/10.1016/j.intimp.2019.04.012" TargetMode="External"/><Relationship Id="rId141" Type="http://schemas.openxmlformats.org/officeDocument/2006/relationships/hyperlink" Target="https://doi.org/10.1186/s12967-016-0833-9" TargetMode="External"/><Relationship Id="rId142" Type="http://schemas.openxmlformats.org/officeDocument/2006/relationships/hyperlink" Target="https://doi.org/10.1038/s41388-018-0417-7" TargetMode="External"/><Relationship Id="rId143" Type="http://schemas.openxmlformats.org/officeDocument/2006/relationships/hyperlink" Target="https://doi.org/10.1186/s12950-024-00398-7" TargetMode="External"/><Relationship Id="rId144" Type="http://schemas.openxmlformats.org/officeDocument/2006/relationships/hyperlink" Target="https://doi.org/10.1016/j.joca.2015.02.168" TargetMode="External"/><Relationship Id="rId145" Type="http://schemas.openxmlformats.org/officeDocument/2006/relationships/hyperlink" Target="https://doi.org/10.1016/j.jot.2023.03.002" TargetMode="External"/><Relationship Id="rId146" Type="http://schemas.openxmlformats.org/officeDocument/2006/relationships/hyperlink" Target="https://doi.org/10.1038/emm.2000.18" TargetMode="External"/><Relationship Id="rId147" Type="http://schemas.openxmlformats.org/officeDocument/2006/relationships/hyperlink" Target="https://doi.org/10.1046/j.1471-4159.2000.0750788.x" TargetMode="External"/><Relationship Id="rId148" Type="http://schemas.openxmlformats.org/officeDocument/2006/relationships/hyperlink" Target="https://doi.org/10.1016/j.bbamcr.2008.12.003" TargetMode="External"/><Relationship Id="rId149" Type="http://schemas.openxmlformats.org/officeDocument/2006/relationships/hyperlink" Target="https://doi.org/10.3724/abbs.2024027" TargetMode="External"/><Relationship Id="rId150" Type="http://schemas.openxmlformats.org/officeDocument/2006/relationships/hyperlink" Target="https://doi.org/10.1074/jbc.m109690200" TargetMode="External"/><Relationship Id="rId151" Type="http://schemas.openxmlformats.org/officeDocument/2006/relationships/hyperlink" Target="https://doi.org/10.3389/fcell.2024.1423665" TargetMode="External"/><Relationship Id="rId152" Type="http://schemas.openxmlformats.org/officeDocument/2006/relationships/hyperlink" Target="https://doi.org/10.1080/03008207.2020.1736578" TargetMode="External"/><Relationship Id="rId153" Type="http://schemas.openxmlformats.org/officeDocument/2006/relationships/hyperlink" Target="https://doi.org/10.3892/ijmm.2018.3921" TargetMode="External"/><Relationship Id="rId154" Type="http://schemas.openxmlformats.org/officeDocument/2006/relationships/hyperlink" Target="https://doi.org/10.1016/j.cell.2012.06.037" TargetMode="External"/><Relationship Id="rId155" Type="http://schemas.openxmlformats.org/officeDocument/2006/relationships/hyperlink" Target="https://doi.org/10.1016/j.cell.2012.06.037" TargetMode="External"/><Relationship Id="rId156" Type="http://schemas.openxmlformats.org/officeDocument/2006/relationships/hyperlink" Target="https://doi.org/10.1073/pnas.090491897" TargetMode="External"/><Relationship Id="rId157" Type="http://schemas.openxmlformats.org/officeDocument/2006/relationships/hyperlink" Target="https://doi.org/10.3390/ijms15011176" TargetMode="External"/><Relationship Id="rId158" Type="http://schemas.openxmlformats.org/officeDocument/2006/relationships/hyperlink" Target="https://doi.org/10.3390/ijms15011176" TargetMode="External"/><Relationship Id="rId159" Type="http://schemas.openxmlformats.org/officeDocument/2006/relationships/hyperlink" Target="https://doi.org/10.3389/fphar.2017.00756" TargetMode="External"/><Relationship Id="rId160" Type="http://schemas.openxmlformats.org/officeDocument/2006/relationships/hyperlink" Target="https://doi.org/10.1042/bcj20190410" TargetMode="External"/><Relationship Id="rId161" Type="http://schemas.openxmlformats.org/officeDocument/2006/relationships/hyperlink" Target="https://doi.org/10.1016/j.ajpath.2024.05.004" TargetMode="External"/><Relationship Id="rId162" Type="http://schemas.openxmlformats.org/officeDocument/2006/relationships/hyperlink" Target="https://doi.org/10.3389/fcell.2023.1324561" TargetMode="External"/><Relationship Id="rId163" Type="http://schemas.openxmlformats.org/officeDocument/2006/relationships/hyperlink" Target="https://doi.org/10.3389/fcell.2023.1324561" TargetMode="External"/><Relationship Id="rId164" Type="http://schemas.openxmlformats.org/officeDocument/2006/relationships/hyperlink" Target="https://doi.org/10.1111/cpr.13438" TargetMode="External"/><Relationship Id="rId165" Type="http://schemas.openxmlformats.org/officeDocument/2006/relationships/hyperlink" Target="https://doi.org/10.3389/fcell.2024.1423665" TargetMode="External"/><Relationship Id="rId166" Type="http://schemas.openxmlformats.org/officeDocument/2006/relationships/hyperlink" Target="https://doi.org/10.1002/1529-0131(200110)44:10%3C2296::aid-art392%3E3.0.co;2-9" TargetMode="External"/><Relationship Id="rId167" Type="http://schemas.openxmlformats.org/officeDocument/2006/relationships/hyperlink" Target="https://doi.org/10.2147/jir.s444758" TargetMode="External"/><Relationship Id="rId168" Type="http://schemas.openxmlformats.org/officeDocument/2006/relationships/hyperlink" Target="https://doi.org/10.2147/dddt.s203974" TargetMode="External"/><Relationship Id="rId169" Type="http://schemas.openxmlformats.org/officeDocument/2006/relationships/hyperlink" Target="https://doi.org/10.1038/s41598-017-17289-y" TargetMode="External"/><Relationship Id="rId170" Type="http://schemas.openxmlformats.org/officeDocument/2006/relationships/hyperlink" Target="https://doi.org/10.1016/j.lfs.2019.116565" TargetMode="External"/><Relationship Id="rId171" Type="http://schemas.openxmlformats.org/officeDocument/2006/relationships/hyperlink" Target="https://doi.org/10.1080/03008207.2021.1952193" TargetMode="External"/><Relationship Id="rId172" Type="http://schemas.openxmlformats.org/officeDocument/2006/relationships/hyperlink" Target="https://doi.org/10.1002/path.2578" TargetMode="External"/><Relationship Id="rId173" Type="http://schemas.openxmlformats.org/officeDocument/2006/relationships/hyperlink" Target="https://doi.org/10.2460/ajvr.73.10.1553" TargetMode="External"/><Relationship Id="rId174" Type="http://schemas.openxmlformats.org/officeDocument/2006/relationships/hyperlink" Target="https://doi.org/10.2147/jir.s444758" TargetMode="External"/><Relationship Id="rId175" Type="http://schemas.openxmlformats.org/officeDocument/2006/relationships/hyperlink" Target="https://doi.org/10.2147/dddt.s203974" TargetMode="External"/><Relationship Id="rId176" Type="http://schemas.openxmlformats.org/officeDocument/2006/relationships/hyperlink" Target="https://doi.org/10.1038/s41598-017-17289-y" TargetMode="External"/><Relationship Id="rId177" Type="http://schemas.openxmlformats.org/officeDocument/2006/relationships/hyperlink" Target="https://doi.org/10.2147/jir.s444758" TargetMode="External"/><Relationship Id="rId178" Type="http://schemas.openxmlformats.org/officeDocument/2006/relationships/hyperlink" Target="https://doi.org/10.2147/dddt.s203974" TargetMode="External"/><Relationship Id="rId179" Type="http://schemas.openxmlformats.org/officeDocument/2006/relationships/hyperlink" Target="https://doi.org/10.1038/sj.cdd.4401963" TargetMode="External"/><Relationship Id="rId180" Type="http://schemas.openxmlformats.org/officeDocument/2006/relationships/hyperlink" Target="https://doi.org/10.1038/cdd.2017.186" TargetMode="External"/><Relationship Id="rId181" Type="http://schemas.openxmlformats.org/officeDocument/2006/relationships/hyperlink" Target="https://doi.org/10.1242/jcs.001586" TargetMode="External"/><Relationship Id="rId182" Type="http://schemas.openxmlformats.org/officeDocument/2006/relationships/hyperlink" Target="https://doi.org/10.1080/03008207.2021.1952193" TargetMode="External"/><Relationship Id="rId183" Type="http://schemas.openxmlformats.org/officeDocument/2006/relationships/hyperlink" Target="https://doi.org/10.1101/gad.219402.113" TargetMode="External"/><Relationship Id="rId184" Type="http://schemas.openxmlformats.org/officeDocument/2006/relationships/hyperlink" Target="https://doi.org/10.1152/physrev.00026.2020" TargetMode="External"/><Relationship Id="rId185" Type="http://schemas.openxmlformats.org/officeDocument/2006/relationships/hyperlink" Target="https://doi.org/10.1152/physrev.00026.2020" TargetMode="External"/><Relationship Id="rId186" Type="http://schemas.openxmlformats.org/officeDocument/2006/relationships/hyperlink" Target="https://doi.org/10.1073/pnas.0600678103" TargetMode="External"/><Relationship Id="rId187" Type="http://schemas.openxmlformats.org/officeDocument/2006/relationships/hyperlink" Target="https://doi.org/10.1016/j.cub.2005.02.053" TargetMode="External"/><Relationship Id="rId188" Type="http://schemas.openxmlformats.org/officeDocument/2006/relationships/hyperlink" Target="https://doi.org/10.1159/000493225" TargetMode="External"/><Relationship Id="rId189" Type="http://schemas.openxmlformats.org/officeDocument/2006/relationships/hyperlink" Target="https://doi.org/10.1002/stem.1476" TargetMode="External"/><Relationship Id="rId190" Type="http://schemas.openxmlformats.org/officeDocument/2006/relationships/hyperlink" Target="https://doi.org/10.18632/oncotarget.18628" TargetMode="External"/><Relationship Id="rId191" Type="http://schemas.openxmlformats.org/officeDocument/2006/relationships/hyperlink" Target="https://doi.org/10.1128/mcb.00601-09" TargetMode="External"/><Relationship Id="rId192" Type="http://schemas.openxmlformats.org/officeDocument/2006/relationships/hyperlink" Target="https://doi.org/10.3892/ijmm.2017.3005" TargetMode="External"/><Relationship Id="rId193" Type="http://schemas.openxmlformats.org/officeDocument/2006/relationships/hyperlink" Target="https://doi.org/10.1159/000489804" TargetMode="External"/><Relationship Id="rId194" Type="http://schemas.openxmlformats.org/officeDocument/2006/relationships/hyperlink" Target="https://doi.org/10.3724/abbs.2024027" TargetMode="External"/><Relationship Id="rId195" Type="http://schemas.openxmlformats.org/officeDocument/2006/relationships/hyperlink" Target="https://doi.org/10.1155/2022/5635797" TargetMode="External"/><Relationship Id="rId196" Type="http://schemas.openxmlformats.org/officeDocument/2006/relationships/hyperlink" Target="https://doi.org/10.1016/j.ijcard.2021.08.007" TargetMode="External"/><Relationship Id="rId197" Type="http://schemas.openxmlformats.org/officeDocument/2006/relationships/hyperlink" Target="https://doi.org/10.1128/mcb.01204-10" TargetMode="External"/><Relationship Id="rId198" Type="http://schemas.openxmlformats.org/officeDocument/2006/relationships/hyperlink" Target="https://doi.org/10.1074/jbc.m109690200" TargetMode="External"/><Relationship Id="rId199" Type="http://schemas.openxmlformats.org/officeDocument/2006/relationships/hyperlink" Target="https://doi.org/10.1111/cpr.13438" TargetMode="External"/><Relationship Id="rId200" Type="http://schemas.openxmlformats.org/officeDocument/2006/relationships/hyperlink" Target="https://doi.org/10.22203/ecm.v030a07" TargetMode="External"/><Relationship Id="rId201" Type="http://schemas.openxmlformats.org/officeDocument/2006/relationships/hyperlink" Target="https://doi.org/10.1016/j.mad.2022.111715" TargetMode="External"/><Relationship Id="rId202" Type="http://schemas.openxmlformats.org/officeDocument/2006/relationships/hyperlink" Target="https://doi.org/10.1016/j.mad.2022.111715" TargetMode="External"/><Relationship Id="rId203" Type="http://schemas.openxmlformats.org/officeDocument/2006/relationships/hyperlink" Target="https://doi.org/10.1007/s00018-023-05094-y" TargetMode="External"/><Relationship Id="rId204" Type="http://schemas.openxmlformats.org/officeDocument/2006/relationships/hyperlink" Target="https://doi.org/10.1007/s00018-023-05094-y" TargetMode="External"/><Relationship Id="rId205" Type="http://schemas.openxmlformats.org/officeDocument/2006/relationships/hyperlink" Target="https://doi.org/10.1074/jbc.273.3.1733" TargetMode="External"/><Relationship Id="rId206" Type="http://schemas.openxmlformats.org/officeDocument/2006/relationships/hyperlink" Target="https://doi.org/10.1074/jbc.m111.334466" TargetMode="External"/><Relationship Id="rId207" Type="http://schemas.openxmlformats.org/officeDocument/2006/relationships/hyperlink" Target="https://doi.org/10.1097/brs.0000000000001220" TargetMode="External"/><Relationship Id="rId208" Type="http://schemas.openxmlformats.org/officeDocument/2006/relationships/hyperlink" Target="https://doi.org/10.1097/brs.0000000000001220" TargetMode="External"/><Relationship Id="rId209" Type="http://schemas.openxmlformats.org/officeDocument/2006/relationships/hyperlink" Target="https://doi.org/10.1002/jcb.27683" TargetMode="External"/><Relationship Id="rId210" Type="http://schemas.openxmlformats.org/officeDocument/2006/relationships/hyperlink" Target="https://doi.org/10.1042/cs20258735" TargetMode="External"/><Relationship Id="rId211" Type="http://schemas.openxmlformats.org/officeDocument/2006/relationships/hyperlink" Target="https://doi.org/10.1038/s41392-021-00828-5" TargetMode="External"/><Relationship Id="rId212" Type="http://schemas.openxmlformats.org/officeDocument/2006/relationships/hyperlink" Target="https://doi.org/10.1074/jbc.273.22.13375" TargetMode="External"/><Relationship Id="rId213" Type="http://schemas.openxmlformats.org/officeDocument/2006/relationships/hyperlink" Target="https://doi.org/10.1038/s41392-021-00828-5" TargetMode="External"/><Relationship Id="rId214" Type="http://schemas.openxmlformats.org/officeDocument/2006/relationships/hyperlink" Target="https://doi.org/10.1074/jbc.m608086200" TargetMode="External"/><Relationship Id="rId215" Type="http://schemas.openxmlformats.org/officeDocument/2006/relationships/hyperlink" Target="https://doi.org/10.1074/jbc.m208300200" TargetMode="External"/><Relationship Id="rId216" Type="http://schemas.openxmlformats.org/officeDocument/2006/relationships/hyperlink" Target="https://doi.org/10.1074/jbc.m608086200" TargetMode="External"/><Relationship Id="rId217" Type="http://schemas.openxmlformats.org/officeDocument/2006/relationships/hyperlink" Target="https://doi.org/10.1074/jbc.m208300200" TargetMode="External"/><Relationship Id="rId218" Type="http://schemas.openxmlformats.org/officeDocument/2006/relationships/hyperlink" Target="https://doi.org/10.1126/science.271.5249.645" TargetMode="External"/><Relationship Id="rId219" Type="http://schemas.openxmlformats.org/officeDocument/2006/relationships/hyperlink" Target="https://doi.org/10.1194/jlr.m700419-jlr200" TargetMode="External"/><Relationship Id="rId220" Type="http://schemas.openxmlformats.org/officeDocument/2006/relationships/hyperlink" Target="https://doi.org/10.1194/jlr.m700419-jlr200" TargetMode="External"/><Relationship Id="rId221" Type="http://schemas.openxmlformats.org/officeDocument/2006/relationships/hyperlink" Target="https://doi.org/10.1074/jbc.271.44.27723" TargetMode="External"/><Relationship Id="rId222" Type="http://schemas.openxmlformats.org/officeDocument/2006/relationships/hyperlink" Target="https://doi.org/10.1093/emboj/17.2.414" TargetMode="External"/><Relationship Id="rId223" Type="http://schemas.openxmlformats.org/officeDocument/2006/relationships/hyperlink" Target="https://doi.org/10.1093/emboj/17.2.414" TargetMode="External"/><Relationship Id="rId224" Type="http://schemas.openxmlformats.org/officeDocument/2006/relationships/hyperlink" Target="https://doi.org/10.1074/jbc.m311033200" TargetMode="External"/><Relationship Id="rId225" Type="http://schemas.openxmlformats.org/officeDocument/2006/relationships/hyperlink" Target="https://doi.org/10.1074/jbc.m311033200" TargetMode="External"/><Relationship Id="rId226" Type="http://schemas.openxmlformats.org/officeDocument/2006/relationships/hyperlink" Target="https://doi.org/10.1002/jcb.20351" TargetMode="External"/><Relationship Id="rId227" Type="http://schemas.openxmlformats.org/officeDocument/2006/relationships/hyperlink" Target="https://doi.org/10.1002/jcb.20351" TargetMode="External"/><Relationship Id="rId228" Type="http://schemas.openxmlformats.org/officeDocument/2006/relationships/hyperlink" Target="https://doi.org/10.1016/j.molcel.2010.07.022" TargetMode="External"/><Relationship Id="rId229" Type="http://schemas.openxmlformats.org/officeDocument/2006/relationships/hyperlink" Target="https://doi.org/10.1186/s12951-023-02075-y" TargetMode="External"/><Relationship Id="rId230" Type="http://schemas.openxmlformats.org/officeDocument/2006/relationships/hyperlink" Target="https://doi.org/10.1002/art.38791" TargetMode="External"/><Relationship Id="rId231" Type="http://schemas.openxmlformats.org/officeDocument/2006/relationships/hyperlink" Target="https://doi.org/10.1164/rccm.200907-1047oc" TargetMode="External"/><Relationship Id="rId232" Type="http://schemas.openxmlformats.org/officeDocument/2006/relationships/hyperlink" Target="https://doi.org/10.1186/ar2151" TargetMode="External"/><Relationship Id="rId233" Type="http://schemas.openxmlformats.org/officeDocument/2006/relationships/hyperlink" Target="https://doi.org/10.4049/jimmunol.1402554" TargetMode="External"/><Relationship Id="rId234" Type="http://schemas.openxmlformats.org/officeDocument/2006/relationships/hyperlink" Target="https://doi.org/10.1016/s0960-9822(01)00225-1" TargetMode="External"/><Relationship Id="rId235" Type="http://schemas.openxmlformats.org/officeDocument/2006/relationships/hyperlink" Target="https://doi.org/10.1089/scd.2010.0465" TargetMode="External"/><Relationship Id="rId236" Type="http://schemas.openxmlformats.org/officeDocument/2006/relationships/hyperlink" Target="https://doi.org/10.1091/mbc.e06-03-0207" TargetMode="External"/><Relationship Id="rId237" Type="http://schemas.openxmlformats.org/officeDocument/2006/relationships/hyperlink" Target="https://doi.org/10.1186/bcr922" TargetMode="External"/><Relationship Id="rId238" Type="http://schemas.openxmlformats.org/officeDocument/2006/relationships/hyperlink" Target="https://doi.org/10.1091/mbc.e06-03-0207" TargetMode="External"/><Relationship Id="rId239" Type="http://schemas.openxmlformats.org/officeDocument/2006/relationships/hyperlink" Target="https://doi.org/10.1186/bcr922" TargetMode="External"/><Relationship Id="rId240" Type="http://schemas.openxmlformats.org/officeDocument/2006/relationships/hyperlink" Target="https://doi.org/10.3389/fcell.2023.1324561" TargetMode="External"/><Relationship Id="rId241" Type="http://schemas.openxmlformats.org/officeDocument/2006/relationships/hyperlink" Target="https://doi.org/10.3389/fcell.2023.1324561" TargetMode="External"/><Relationship Id="rId242" Type="http://schemas.openxmlformats.org/officeDocument/2006/relationships/hyperlink" Target="https://doi.org/10.1038/372786a0" TargetMode="External"/><Relationship Id="rId243" Type="http://schemas.openxmlformats.org/officeDocument/2006/relationships/hyperlink" Target="https://doi.org/10.1038/372786a0" TargetMode="External"/><Relationship Id="rId244" Type="http://schemas.openxmlformats.org/officeDocument/2006/relationships/hyperlink" Target="https://doi.org/10.1152/physrev.00026.2020" TargetMode="External"/><Relationship Id="rId245" Type="http://schemas.openxmlformats.org/officeDocument/2006/relationships/hyperlink" Target="https://doi.org/10.1016/j.cell.2006.06.055" TargetMode="External"/><Relationship Id="rId246" Type="http://schemas.openxmlformats.org/officeDocument/2006/relationships/hyperlink" Target="https://doi.org/10.1016/j.ceb.2009.05.006" TargetMode="External"/><Relationship Id="rId247" Type="http://schemas.openxmlformats.org/officeDocument/2006/relationships/hyperlink" Target="https://doi.org/10.1016/j.ceb.2009.05.006" TargetMode="External"/><Relationship Id="rId248" Type="http://schemas.openxmlformats.org/officeDocument/2006/relationships/hyperlink" Target="https://doi.org/10.1038/s12276-021-00716-6" TargetMode="External"/><Relationship Id="rId249" Type="http://schemas.openxmlformats.org/officeDocument/2006/relationships/hyperlink" Target="https://doi.org/10.1038/s12276-021-00716-6" TargetMode="External"/><Relationship Id="rId250" Type="http://schemas.openxmlformats.org/officeDocument/2006/relationships/hyperlink" Target="https://doi.org/10.3233/jad-2010-100465" TargetMode="External"/><Relationship Id="rId251" Type="http://schemas.openxmlformats.org/officeDocument/2006/relationships/hyperlink" Target="https://doi.org/10.1016/j.cellsig.2026.112769" TargetMode="External"/><Relationship Id="rId252" Type="http://schemas.openxmlformats.org/officeDocument/2006/relationships/hyperlink" Target="https://doi.org/10.1073/pnas.2209184120" TargetMode="External"/><Relationship Id="rId253" Type="http://schemas.openxmlformats.org/officeDocument/2006/relationships/hyperlink" Target="https://doi.org/10.1002/advs.202105466" TargetMode="External"/><Relationship Id="rId254" Type="http://schemas.openxmlformats.org/officeDocument/2006/relationships/hyperlink" Target="https://doi.org/10.3390/ijms20040972" TargetMode="External"/><Relationship Id="rId255" Type="http://schemas.openxmlformats.org/officeDocument/2006/relationships/hyperlink" Target="https://doi.org/10.1002/jbmr.561" TargetMode="External"/><Relationship Id="rId256" Type="http://schemas.openxmlformats.org/officeDocument/2006/relationships/hyperlink" Target="https://doi.org/10.1002/jbmr.561" TargetMode="External"/><Relationship Id="rId257" Type="http://schemas.openxmlformats.org/officeDocument/2006/relationships/hyperlink" Target="https://doi.org/10.1002/jbmr.174" TargetMode="External"/><Relationship Id="rId258" Type="http://schemas.openxmlformats.org/officeDocument/2006/relationships/hyperlink" Target="https://doi.org/10.3892/etm.2022.11193" TargetMode="External"/><Relationship Id="rId259" Type="http://schemas.openxmlformats.org/officeDocument/2006/relationships/hyperlink" Target="https://doi.org/10.1172/jci.insight.131382" TargetMode="External"/><Relationship Id="rId260" Type="http://schemas.openxmlformats.org/officeDocument/2006/relationships/hyperlink" Target="https://doi.org/10.1038/s12276-022-00829-6" TargetMode="External"/><Relationship Id="rId261" Type="http://schemas.openxmlformats.org/officeDocument/2006/relationships/hyperlink" Target="https://doi.org/10.1002/jor.23583" TargetMode="External"/><Relationship Id="rId262" Type="http://schemas.openxmlformats.org/officeDocument/2006/relationships/hyperlink" Target="https://doi.org/10.1038/s12276-022-00829-6" TargetMode="External"/><Relationship Id="rId263" Type="http://schemas.openxmlformats.org/officeDocument/2006/relationships/hyperlink" Target="https://doi.org/10.1083/jcb.200312045" TargetMode="External"/><Relationship Id="rId264" Type="http://schemas.openxmlformats.org/officeDocument/2006/relationships/hyperlink" Target="https://doi.org/10.1083/jcb.200312045" TargetMode="External"/><Relationship Id="rId265" Type="http://schemas.openxmlformats.org/officeDocument/2006/relationships/hyperlink" Target="https://doi.org/10.1002/jcp.21904" TargetMode="External"/><Relationship Id="rId266" Type="http://schemas.openxmlformats.org/officeDocument/2006/relationships/hyperlink" Target="https://doi.org/10.1016/j.cellsig.2013.12.001" TargetMode="External"/><Relationship Id="rId267" Type="http://schemas.openxmlformats.org/officeDocument/2006/relationships/hyperlink" Target="https://doi.org/10.3390/ijms222111355" TargetMode="External"/><Relationship Id="rId268" Type="http://schemas.openxmlformats.org/officeDocument/2006/relationships/hyperlink" Target="https://doi.org/10.1002/art.25051" TargetMode="External"/><Relationship Id="rId269" Type="http://schemas.openxmlformats.org/officeDocument/2006/relationships/hyperlink" Target="https://doi.org/10.1074/jbc.m411793200" TargetMode="External"/><Relationship Id="rId270" Type="http://schemas.openxmlformats.org/officeDocument/2006/relationships/hyperlink" Target="https://doi.org/10.1210/me.2010-0037" TargetMode="External"/><Relationship Id="rId271" Type="http://schemas.openxmlformats.org/officeDocument/2006/relationships/hyperlink" Target="https://doi.org/10.1074/jbc.m604322200" TargetMode="External"/><Relationship Id="rId272" Type="http://schemas.openxmlformats.org/officeDocument/2006/relationships/hyperlink" Target="https://doi.org/10.1128/mcb.23.1.131-139.2003" TargetMode="External"/><Relationship Id="rId273" Type="http://schemas.openxmlformats.org/officeDocument/2006/relationships/hyperlink" Target="https://doi.org/10.1016/j.fob.2015.06.001" TargetMode="External"/><Relationship Id="rId274" Type="http://schemas.openxmlformats.org/officeDocument/2006/relationships/hyperlink" Target="https://doi.org/10.1172/jci.insight.131382" TargetMode="External"/><Relationship Id="rId275" Type="http://schemas.openxmlformats.org/officeDocument/2006/relationships/hyperlink" Target="https://doi.org/10.1097/brs.0000000000001235" TargetMode="External"/><Relationship Id="rId276" Type="http://schemas.openxmlformats.org/officeDocument/2006/relationships/hyperlink" Target="https://doi.org/10.1097/brs.0000000000001235" TargetMode="External"/><Relationship Id="rId277" Type="http://schemas.openxmlformats.org/officeDocument/2006/relationships/hyperlink" Target="https://doi.org/10.1093/cvr/cvu053" TargetMode="External"/><Relationship Id="rId278" Type="http://schemas.openxmlformats.org/officeDocument/2006/relationships/hyperlink" Target="https://doi.org/10.1161/atvbaha.117.310502" TargetMode="External"/><Relationship Id="rId279" Type="http://schemas.openxmlformats.org/officeDocument/2006/relationships/hyperlink" Target="https://doi.org/10.1053/joca.2002.0827" TargetMode="External"/><Relationship Id="rId280" Type="http://schemas.openxmlformats.org/officeDocument/2006/relationships/hyperlink" Target="https://doi.org/10.1101/gad.543109" TargetMode="External"/><Relationship Id="rId281" Type="http://schemas.openxmlformats.org/officeDocument/2006/relationships/hyperlink" Target="https://doi.org/10.1038/s41598-017-17289-y" TargetMode="External"/><Relationship Id="rId282" Type="http://schemas.openxmlformats.org/officeDocument/2006/relationships/hyperlink" Target="https://doi.org/10.1016/j.joca.2016.02.003" TargetMode="External"/><Relationship Id="rId283" Type="http://schemas.openxmlformats.org/officeDocument/2006/relationships/hyperlink" Target="https://doi.org/10.1359/jbmr.070322" TargetMode="External"/><Relationship Id="rId284" Type="http://schemas.openxmlformats.org/officeDocument/2006/relationships/hyperlink" Target="https://doi.org/10.1359/jbmr.070322" TargetMode="External"/><Relationship Id="rId285" Type="http://schemas.openxmlformats.org/officeDocument/2006/relationships/hyperlink" Target="https://doi.org/10.1359/jbmr.070322" TargetMode="External"/><Relationship Id="rId286" Type="http://schemas.openxmlformats.org/officeDocument/2006/relationships/hyperlink" Target="https://doi.org/10.1152/ajprenal.00591.2012" TargetMode="External"/><Relationship Id="rId287" Type="http://schemas.openxmlformats.org/officeDocument/2006/relationships/hyperlink" Target="https://doi.org/10.1073/pnas.1319569111" TargetMode="External"/><Relationship Id="rId288" Type="http://schemas.openxmlformats.org/officeDocument/2006/relationships/hyperlink" Target="https://doi.org/10.1159/000493225" TargetMode="External"/><Relationship Id="rId289" Type="http://schemas.openxmlformats.org/officeDocument/2006/relationships/hyperlink" Target="https://doi.org/10.1091/mbc.e08-12-1248" TargetMode="External"/><Relationship Id="rId290" Type="http://schemas.openxmlformats.org/officeDocument/2006/relationships/hyperlink" Target="https://doi.org/10.1002/art.24073" TargetMode="External"/><Relationship Id="rId291" Type="http://schemas.openxmlformats.org/officeDocument/2006/relationships/hyperlink" Target="https://doi.org/10.1002/art.24073" TargetMode="External"/><Relationship Id="rId292" Type="http://schemas.openxmlformats.org/officeDocument/2006/relationships/hyperlink" Target="https://doi.org/10.1186/s13075-014-0416-1" TargetMode="External"/><Relationship Id="rId293" Type="http://schemas.openxmlformats.org/officeDocument/2006/relationships/hyperlink" Target="https://doi.org/10.1074/jbc.m112.440552" TargetMode="External"/><Relationship Id="rId294" Type="http://schemas.openxmlformats.org/officeDocument/2006/relationships/hyperlink" Target="https://doi.org/10.1016/j.bbamcr.2023.119573" TargetMode="External"/><Relationship Id="rId295" Type="http://schemas.openxmlformats.org/officeDocument/2006/relationships/hyperlink" Target="https://doi.org/10.1016/j.cell.2015.07.013" TargetMode="External"/><Relationship Id="rId296" Type="http://schemas.openxmlformats.org/officeDocument/2006/relationships/hyperlink" Target="https://doi.org/10.1074/jbc.m107977200" TargetMode="External"/><Relationship Id="rId297" Type="http://schemas.openxmlformats.org/officeDocument/2006/relationships/hyperlink" Target="https://doi.org/10.1074/jbc.m808048200" TargetMode="External"/><Relationship Id="rId298" Type="http://schemas.openxmlformats.org/officeDocument/2006/relationships/hyperlink" Target="https://doi.org/10.1016/j.cell.2015.07.013" TargetMode="External"/><Relationship Id="rId299" Type="http://schemas.openxmlformats.org/officeDocument/2006/relationships/hyperlink" Target="https://doi.org/10.1074/jbc.m706638200" TargetMode="External"/><Relationship Id="rId300" Type="http://schemas.openxmlformats.org/officeDocument/2006/relationships/hyperlink" Target="https://doi.org/10.1096/fj.201802725rrr" TargetMode="External"/><Relationship Id="rId301" Type="http://schemas.openxmlformats.org/officeDocument/2006/relationships/hyperlink" Target="https://doi.org/10.1096/fj.201802725rrr" TargetMode="External"/><Relationship Id="rId302" Type="http://schemas.openxmlformats.org/officeDocument/2006/relationships/hyperlink" Target="https://doi.org/10.1111/cpr.12492" TargetMode="External"/><Relationship Id="rId303" Type="http://schemas.openxmlformats.org/officeDocument/2006/relationships/hyperlink" Target="https://doi.org/10.1016/j.spinee.2014.12.143" TargetMode="External"/><Relationship Id="rId304" Type="http://schemas.openxmlformats.org/officeDocument/2006/relationships/hyperlink" Target="https://doi.org/10.1111/j.1582-4934.2012.01553.x" TargetMode="External"/><Relationship Id="rId305" Type="http://schemas.openxmlformats.org/officeDocument/2006/relationships/hyperlink" Target="https://doi.org/10.1007/s00441-003-0836-8" TargetMode="External"/><Relationship Id="rId306" Type="http://schemas.openxmlformats.org/officeDocument/2006/relationships/hyperlink" Target="https://doi.org/10.1111/j.1582-4934.2012.01553.x" TargetMode="External"/><Relationship Id="rId307" Type="http://schemas.openxmlformats.org/officeDocument/2006/relationships/hyperlink" Target="https://doi.org/10.1002/cbin.11293" TargetMode="External"/><Relationship Id="rId308" Type="http://schemas.openxmlformats.org/officeDocument/2006/relationships/hyperlink" Target="https://doi.org/10.1091/mbc.e04-12-1082" TargetMode="External"/><Relationship Id="rId309" Type="http://schemas.openxmlformats.org/officeDocument/2006/relationships/hyperlink" Target="https://doi.org/10.1038/boneres.2017.8" TargetMode="External"/><Relationship Id="rId310" Type="http://schemas.openxmlformats.org/officeDocument/2006/relationships/hyperlink" Target="https://doi.org/10.1111/j.1067-1927.2005.130206.x" TargetMode="External"/><Relationship Id="rId311" Type="http://schemas.openxmlformats.org/officeDocument/2006/relationships/hyperlink" Target="https://doi.org/10.1152/ajpcell.00355.2021" TargetMode="External"/><Relationship Id="rId312" Type="http://schemas.openxmlformats.org/officeDocument/2006/relationships/hyperlink" Target="https://doi.org/10.1152/ajpcell.00355.2021" TargetMode="External"/><Relationship Id="rId313" Type="http://schemas.openxmlformats.org/officeDocument/2006/relationships/hyperlink" Target="https://doi.org/10.1016/j.cell.2015.07.013" TargetMode="External"/><Relationship Id="rId314" Type="http://schemas.openxmlformats.org/officeDocument/2006/relationships/hyperlink" Target="https://doi.org/10.1016/s0006-291x(02)00485-0" TargetMode="External"/><Relationship Id="rId315" Type="http://schemas.openxmlformats.org/officeDocument/2006/relationships/hyperlink" Target="https://doi.org/10.1074/jbc.m808048200" TargetMode="External"/><Relationship Id="rId316" Type="http://schemas.openxmlformats.org/officeDocument/2006/relationships/hyperlink" Target="https://doi.org/10.1155/2022/7655142" TargetMode="External"/><Relationship Id="rId317" Type="http://schemas.openxmlformats.org/officeDocument/2006/relationships/hyperlink" Target="https://doi.org/10.1016/j.bbrc.2024.150371" TargetMode="External"/><Relationship Id="rId318" Type="http://schemas.openxmlformats.org/officeDocument/2006/relationships/hyperlink" Target="https://doi.org/10.1074/jbc.m805711200" TargetMode="External"/><Relationship Id="rId319" Type="http://schemas.openxmlformats.org/officeDocument/2006/relationships/hyperlink" Target="https://doi.org/10.1038/s41419-025-08002-3" TargetMode="External"/><Relationship Id="rId320" Type="http://schemas.openxmlformats.org/officeDocument/2006/relationships/hyperlink" Target="https://doi.org/10.1096/fj.13-243741" TargetMode="External"/><Relationship Id="rId321" Type="http://schemas.openxmlformats.org/officeDocument/2006/relationships/hyperlink" Target="https://doi.org/10.1038/s41419-025-08002-3" TargetMode="External"/><Relationship Id="rId322" Type="http://schemas.openxmlformats.org/officeDocument/2006/relationships/hyperlink" Target="https://doi.org/10.1096/fj.13-243741" TargetMode="External"/><Relationship Id="rId323" Type="http://schemas.openxmlformats.org/officeDocument/2006/relationships/hyperlink" Target="https://doi.org/10.1007/s00264-013-2144-6" TargetMode="External"/><Relationship Id="rId324" Type="http://schemas.openxmlformats.org/officeDocument/2006/relationships/vmlDrawing" Target="../drawings/vmlDrawing1.vml"/><Relationship Id="rId325"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hyperlink" Target="https://doi.org/10.1002/jbmr.561" TargetMode="External"/><Relationship Id="rId2" Type="http://schemas.openxmlformats.org/officeDocument/2006/relationships/hyperlink" Target="https://doi.org/10.1007/s00018-023-05094-y" TargetMode="External"/><Relationship Id="rId3" Type="http://schemas.openxmlformats.org/officeDocument/2006/relationships/hyperlink" Target="https://doi.org/10.1016/j.cell.2012.06.037" TargetMode="External"/><Relationship Id="rId4" Type="http://schemas.openxmlformats.org/officeDocument/2006/relationships/hyperlink" Target="https://doi.org/10.1038/s12276-021-00716-6" TargetMode="External"/><Relationship Id="rId5" Type="http://schemas.openxmlformats.org/officeDocument/2006/relationships/hyperlink" Target="https://doi.org/10.1074/jbc.m115.702571" TargetMode="External"/><Relationship Id="rId6" Type="http://schemas.openxmlformats.org/officeDocument/2006/relationships/hyperlink" Target="https://doi.org/10.1155/2022/5635797" TargetMode="External"/><Relationship Id="rId7" Type="http://schemas.openxmlformats.org/officeDocument/2006/relationships/hyperlink" Target="https://doi.org/10.1002/1529-0131(200103)44:3%3C595::aid-anr108%3E3.0.co;2-8" TargetMode="External"/><Relationship Id="rId8" Type="http://schemas.openxmlformats.org/officeDocument/2006/relationships/hyperlink" Target="https://doi.org/10.1002/1529-0131(200110)44:10%3C2296::aid-art392%3E3.0.co;2-9" TargetMode="External"/><Relationship Id="rId9" Type="http://schemas.openxmlformats.org/officeDocument/2006/relationships/hyperlink" Target="https://doi.org/10.1002/advs.202105466" TargetMode="External"/><Relationship Id="rId10" Type="http://schemas.openxmlformats.org/officeDocument/2006/relationships/hyperlink" Target="https://doi.org/10.1002/art.23504" TargetMode="External"/><Relationship Id="rId11" Type="http://schemas.openxmlformats.org/officeDocument/2006/relationships/hyperlink" Target="https://doi.org/10.1002/art.24073" TargetMode="External"/><Relationship Id="rId12" Type="http://schemas.openxmlformats.org/officeDocument/2006/relationships/hyperlink" Target="https://doi.org/10.1002/art.25051" TargetMode="External"/><Relationship Id="rId13" Type="http://schemas.openxmlformats.org/officeDocument/2006/relationships/hyperlink" Target="https://doi.org/10.1002/art.38791" TargetMode="External"/><Relationship Id="rId14" Type="http://schemas.openxmlformats.org/officeDocument/2006/relationships/hyperlink" Target="https://doi.org/10.1002/art.38868" TargetMode="External"/><Relationship Id="rId15" Type="http://schemas.openxmlformats.org/officeDocument/2006/relationships/hyperlink" Target="https://doi.org/10.1002/cbin.11293" TargetMode="External"/><Relationship Id="rId16" Type="http://schemas.openxmlformats.org/officeDocument/2006/relationships/hyperlink" Target="https://doi.org/10.1002/dvdy.20323" TargetMode="External"/><Relationship Id="rId17" Type="http://schemas.openxmlformats.org/officeDocument/2006/relationships/hyperlink" Target="https://doi.org/10.1002/humu.9503" TargetMode="External"/><Relationship Id="rId18" Type="http://schemas.openxmlformats.org/officeDocument/2006/relationships/hyperlink" Target="https://doi.org/10.1002/jbmr.174" TargetMode="External"/><Relationship Id="rId19" Type="http://schemas.openxmlformats.org/officeDocument/2006/relationships/hyperlink" Target="https://doi.org/10.1002/jbmr.4019" TargetMode="External"/><Relationship Id="rId20" Type="http://schemas.openxmlformats.org/officeDocument/2006/relationships/hyperlink" Target="https://doi.org/10.1002/jbmr.4300" TargetMode="External"/><Relationship Id="rId21" Type="http://schemas.openxmlformats.org/officeDocument/2006/relationships/hyperlink" Target="https://doi.org/10.1002/jcb.1163" TargetMode="External"/><Relationship Id="rId22" Type="http://schemas.openxmlformats.org/officeDocument/2006/relationships/hyperlink" Target="https://doi.org/10.1002/jcb.20351" TargetMode="External"/><Relationship Id="rId23" Type="http://schemas.openxmlformats.org/officeDocument/2006/relationships/hyperlink" Target="https://doi.org/10.1002/jcb.21198" TargetMode="External"/><Relationship Id="rId24" Type="http://schemas.openxmlformats.org/officeDocument/2006/relationships/hyperlink" Target="https://doi.org/10.1002/jcb.25099" TargetMode="External"/><Relationship Id="rId25" Type="http://schemas.openxmlformats.org/officeDocument/2006/relationships/hyperlink" Target="https://doi.org/10.1002/jcb.27683" TargetMode="External"/><Relationship Id="rId26" Type="http://schemas.openxmlformats.org/officeDocument/2006/relationships/hyperlink" Target="https://doi.org/10.1002/jcp.21904" TargetMode="External"/><Relationship Id="rId27" Type="http://schemas.openxmlformats.org/officeDocument/2006/relationships/hyperlink" Target="https://doi.org/10.1002/jor.23583" TargetMode="External"/><Relationship Id="rId28" Type="http://schemas.openxmlformats.org/officeDocument/2006/relationships/hyperlink" Target="https://doi.org/10.1002/lary.20157" TargetMode="External"/><Relationship Id="rId29" Type="http://schemas.openxmlformats.org/officeDocument/2006/relationships/hyperlink" Target="https://doi.org/10.1002/path.2578" TargetMode="External"/><Relationship Id="rId30" Type="http://schemas.openxmlformats.org/officeDocument/2006/relationships/hyperlink" Target="https://doi.org/10.1002/stem.1476" TargetMode="External"/><Relationship Id="rId31" Type="http://schemas.openxmlformats.org/officeDocument/2006/relationships/hyperlink" Target="https://doi.org/10.1007/bf00229313" TargetMode="External"/><Relationship Id="rId32" Type="http://schemas.openxmlformats.org/officeDocument/2006/relationships/hyperlink" Target="https://doi.org/10.1007/s00018-025-05824-4" TargetMode="External"/><Relationship Id="rId33" Type="http://schemas.openxmlformats.org/officeDocument/2006/relationships/hyperlink" Target="https://doi.org/10.1007/s00264-013-2144-6" TargetMode="External"/><Relationship Id="rId34" Type="http://schemas.openxmlformats.org/officeDocument/2006/relationships/hyperlink" Target="https://doi.org/10.1007/s00418-005-0026-8" TargetMode="External"/><Relationship Id="rId35" Type="http://schemas.openxmlformats.org/officeDocument/2006/relationships/hyperlink" Target="https://doi.org/10.1007/s00441-003-0836-8" TargetMode="External"/><Relationship Id="rId36" Type="http://schemas.openxmlformats.org/officeDocument/2006/relationships/hyperlink" Target="https://doi.org/10.1007/s10753-022-01770-6" TargetMode="External"/><Relationship Id="rId37" Type="http://schemas.openxmlformats.org/officeDocument/2006/relationships/hyperlink" Target="https://doi.org/10.1007/s12551-017-0308-0" TargetMode="External"/><Relationship Id="rId38" Type="http://schemas.openxmlformats.org/officeDocument/2006/relationships/hyperlink" Target="https://doi.org/10.1016/0167-4838(83)90140-1" TargetMode="External"/><Relationship Id="rId39" Type="http://schemas.openxmlformats.org/officeDocument/2006/relationships/hyperlink" Target="https://doi.org/10.1016/j.ajpath.2024.05.004" TargetMode="External"/><Relationship Id="rId40" Type="http://schemas.openxmlformats.org/officeDocument/2006/relationships/hyperlink" Target="https://doi.org/10.1016/j.bbamcr.2008.12.003" TargetMode="External"/><Relationship Id="rId41" Type="http://schemas.openxmlformats.org/officeDocument/2006/relationships/hyperlink" Target="https://doi.org/10.1016/j.bbamcr.2023.119573" TargetMode="External"/><Relationship Id="rId42" Type="http://schemas.openxmlformats.org/officeDocument/2006/relationships/hyperlink" Target="https://doi.org/10.1016/j.bbrc.2017.05.086" TargetMode="External"/><Relationship Id="rId43" Type="http://schemas.openxmlformats.org/officeDocument/2006/relationships/hyperlink" Target="https://doi.org/10.1016/j.bbrc.2024.150371" TargetMode="External"/><Relationship Id="rId44" Type="http://schemas.openxmlformats.org/officeDocument/2006/relationships/hyperlink" Target="https://doi.org/10.1016/j.ceb.2009.05.006" TargetMode="External"/><Relationship Id="rId45" Type="http://schemas.openxmlformats.org/officeDocument/2006/relationships/hyperlink" Target="https://doi.org/10.1016/j.cell.2006.03.046" TargetMode="External"/><Relationship Id="rId46" Type="http://schemas.openxmlformats.org/officeDocument/2006/relationships/hyperlink" Target="https://doi.org/10.1016/j.cell.2006.06.055" TargetMode="External"/><Relationship Id="rId47" Type="http://schemas.openxmlformats.org/officeDocument/2006/relationships/hyperlink" Target="https://doi.org/10.1016/j.cell.2015.07.013" TargetMode="External"/><Relationship Id="rId48" Type="http://schemas.openxmlformats.org/officeDocument/2006/relationships/hyperlink" Target="https://doi.org/10.1016/j.cell.2024.02.007" TargetMode="External"/><Relationship Id="rId49" Type="http://schemas.openxmlformats.org/officeDocument/2006/relationships/hyperlink" Target="https://doi.org/10.1016/j.cellsig.2013.12.001" TargetMode="External"/><Relationship Id="rId50" Type="http://schemas.openxmlformats.org/officeDocument/2006/relationships/hyperlink" Target="https://doi.org/10.1016/j.cellsig.2026.112769" TargetMode="External"/><Relationship Id="rId51" Type="http://schemas.openxmlformats.org/officeDocument/2006/relationships/hyperlink" Target="https://doi.org/10.1016/j.cmet.2005.06.005" TargetMode="External"/><Relationship Id="rId52" Type="http://schemas.openxmlformats.org/officeDocument/2006/relationships/hyperlink" Target="https://doi.org/10.1016/j.cub.2005.02.053" TargetMode="External"/><Relationship Id="rId53" Type="http://schemas.openxmlformats.org/officeDocument/2006/relationships/hyperlink" Target="https://doi.org/10.1016/j.fob.2015.06.001" TargetMode="External"/><Relationship Id="rId54" Type="http://schemas.openxmlformats.org/officeDocument/2006/relationships/hyperlink" Target="https://doi.org/10.1016/j.freeradbiomed.2009.02.019" TargetMode="External"/><Relationship Id="rId55" Type="http://schemas.openxmlformats.org/officeDocument/2006/relationships/hyperlink" Target="https://doi.org/10.1016/j.gene.2019.04.020" TargetMode="External"/><Relationship Id="rId56" Type="http://schemas.openxmlformats.org/officeDocument/2006/relationships/hyperlink" Target="https://doi.org/10.1016/j.ijcard.2021.08.007" TargetMode="External"/><Relationship Id="rId57" Type="http://schemas.openxmlformats.org/officeDocument/2006/relationships/hyperlink" Target="https://doi.org/10.1016/j.intimp.2019.04.012" TargetMode="External"/><Relationship Id="rId58" Type="http://schemas.openxmlformats.org/officeDocument/2006/relationships/hyperlink" Target="https://doi.org/10.1016/j.intimp.2020.106681" TargetMode="External"/><Relationship Id="rId59" Type="http://schemas.openxmlformats.org/officeDocument/2006/relationships/hyperlink" Target="https://doi.org/10.1016/j.joca.2008.04.006" TargetMode="External"/><Relationship Id="rId60" Type="http://schemas.openxmlformats.org/officeDocument/2006/relationships/hyperlink" Target="https://doi.org/10.1016/j.joca.2008.04.027" TargetMode="External"/><Relationship Id="rId61" Type="http://schemas.openxmlformats.org/officeDocument/2006/relationships/hyperlink" Target="https://doi.org/10.1016/j.joca.2014.06.031" TargetMode="External"/><Relationship Id="rId62" Type="http://schemas.openxmlformats.org/officeDocument/2006/relationships/hyperlink" Target="https://doi.org/10.1016/j.joca.2015.02.168" TargetMode="External"/><Relationship Id="rId63" Type="http://schemas.openxmlformats.org/officeDocument/2006/relationships/hyperlink" Target="https://doi.org/10.1016/j.joca.2016.02.003" TargetMode="External"/><Relationship Id="rId64" Type="http://schemas.openxmlformats.org/officeDocument/2006/relationships/hyperlink" Target="https://doi.org/10.1016/j.joca.2017.08.019" TargetMode="External"/><Relationship Id="rId65" Type="http://schemas.openxmlformats.org/officeDocument/2006/relationships/hyperlink" Target="https://doi.org/10.1016/j.jot.2023.03.002" TargetMode="External"/><Relationship Id="rId66" Type="http://schemas.openxmlformats.org/officeDocument/2006/relationships/hyperlink" Target="https://doi.org/10.1016/j.jot.2025.01.013" TargetMode="External"/><Relationship Id="rId67" Type="http://schemas.openxmlformats.org/officeDocument/2006/relationships/hyperlink" Target="https://doi.org/10.1016/j.lfs.2019.116565" TargetMode="External"/><Relationship Id="rId68" Type="http://schemas.openxmlformats.org/officeDocument/2006/relationships/hyperlink" Target="https://doi.org/10.1016/j.mad.2022.111715" TargetMode="External"/><Relationship Id="rId69" Type="http://schemas.openxmlformats.org/officeDocument/2006/relationships/hyperlink" Target="https://doi.org/10.1016/j.matbio.2020.09.003" TargetMode="External"/><Relationship Id="rId70" Type="http://schemas.openxmlformats.org/officeDocument/2006/relationships/hyperlink" Target="https://doi.org/10.1016/j.molcel.2010.07.022" TargetMode="External"/><Relationship Id="rId71" Type="http://schemas.openxmlformats.org/officeDocument/2006/relationships/hyperlink" Target="https://doi.org/10.1016/j.spinee.2014.12.143" TargetMode="External"/><Relationship Id="rId72" Type="http://schemas.openxmlformats.org/officeDocument/2006/relationships/hyperlink" Target="https://doi.org/10.1016/j.steroids.2005.04.007" TargetMode="External"/><Relationship Id="rId73" Type="http://schemas.openxmlformats.org/officeDocument/2006/relationships/hyperlink" Target="https://doi.org/10.1016/j.ydbio.2010.02.024" TargetMode="External"/><Relationship Id="rId74" Type="http://schemas.openxmlformats.org/officeDocument/2006/relationships/hyperlink" Target="https://doi.org/10.1016/s0006-291x(02)00485-0" TargetMode="External"/><Relationship Id="rId75" Type="http://schemas.openxmlformats.org/officeDocument/2006/relationships/hyperlink" Target="https://doi.org/10.1016/s0022-2836(02)01404-3" TargetMode="External"/><Relationship Id="rId76" Type="http://schemas.openxmlformats.org/officeDocument/2006/relationships/hyperlink" Target="https://doi.org/10.1016/s0960-9822(01)00225-1" TargetMode="External"/><Relationship Id="rId77" Type="http://schemas.openxmlformats.org/officeDocument/2006/relationships/hyperlink" Target="https://doi.org/10.1038/372786a0" TargetMode="External"/><Relationship Id="rId78" Type="http://schemas.openxmlformats.org/officeDocument/2006/relationships/hyperlink" Target="https://doi.org/10.1038/boneres.2017.8" TargetMode="External"/><Relationship Id="rId79" Type="http://schemas.openxmlformats.org/officeDocument/2006/relationships/hyperlink" Target="https://doi.org/10.1038/cdd.2017.186" TargetMode="External"/><Relationship Id="rId80" Type="http://schemas.openxmlformats.org/officeDocument/2006/relationships/hyperlink" Target="https://doi.org/10.1038/emm.2000.18" TargetMode="External"/><Relationship Id="rId81" Type="http://schemas.openxmlformats.org/officeDocument/2006/relationships/hyperlink" Target="https://doi.org/10.1038/ncb1676" TargetMode="External"/><Relationship Id="rId82" Type="http://schemas.openxmlformats.org/officeDocument/2006/relationships/hyperlink" Target="https://doi.org/10.1038/nm.2146" TargetMode="External"/><Relationship Id="rId83" Type="http://schemas.openxmlformats.org/officeDocument/2006/relationships/hyperlink" Target="https://doi.org/10.1038/onc.2014.164" TargetMode="External"/><Relationship Id="rId84" Type="http://schemas.openxmlformats.org/officeDocument/2006/relationships/hyperlink" Target="https://doi.org/10.1038/s12276-020-0441-x" TargetMode="External"/><Relationship Id="rId85" Type="http://schemas.openxmlformats.org/officeDocument/2006/relationships/hyperlink" Target="https://doi.org/10.1038/s12276-022-00829-6" TargetMode="External"/><Relationship Id="rId86" Type="http://schemas.openxmlformats.org/officeDocument/2006/relationships/hyperlink" Target="https://doi.org/10.1038/s12276-024-01168-4" TargetMode="External"/><Relationship Id="rId87" Type="http://schemas.openxmlformats.org/officeDocument/2006/relationships/hyperlink" Target="https://doi.org/10.1038/s41388-018-0417-7" TargetMode="External"/><Relationship Id="rId88" Type="http://schemas.openxmlformats.org/officeDocument/2006/relationships/hyperlink" Target="https://doi.org/10.1038/s41392-021-00828-5" TargetMode="External"/><Relationship Id="rId89" Type="http://schemas.openxmlformats.org/officeDocument/2006/relationships/hyperlink" Target="https://doi.org/10.1038/s41419-019-1701-3" TargetMode="External"/><Relationship Id="rId90" Type="http://schemas.openxmlformats.org/officeDocument/2006/relationships/hyperlink" Target="https://doi.org/10.1038/s41419-019-2202-0" TargetMode="External"/><Relationship Id="rId91" Type="http://schemas.openxmlformats.org/officeDocument/2006/relationships/hyperlink" Target="https://doi.org/10.1038/s41419-025-08002-3" TargetMode="External"/><Relationship Id="rId92" Type="http://schemas.openxmlformats.org/officeDocument/2006/relationships/hyperlink" Target="https://doi.org/10.1038/s41556-023-01184-y" TargetMode="External"/><Relationship Id="rId93" Type="http://schemas.openxmlformats.org/officeDocument/2006/relationships/hyperlink" Target="https://doi.org/10.1038/s41598-017-17289-y" TargetMode="External"/><Relationship Id="rId94" Type="http://schemas.openxmlformats.org/officeDocument/2006/relationships/hyperlink" Target="https://doi.org/10.1038/s41598-021-81838-9" TargetMode="External"/><Relationship Id="rId95" Type="http://schemas.openxmlformats.org/officeDocument/2006/relationships/hyperlink" Target="https://doi.org/10.1038/s41598-021-82067-w" TargetMode="External"/><Relationship Id="rId96" Type="http://schemas.openxmlformats.org/officeDocument/2006/relationships/hyperlink" Target="https://doi.org/10.1038/s42255-019-0157-1" TargetMode="External"/><Relationship Id="rId97" Type="http://schemas.openxmlformats.org/officeDocument/2006/relationships/hyperlink" Target="https://doi.org/10.1038/sj.cdd.4401963" TargetMode="External"/><Relationship Id="rId98" Type="http://schemas.openxmlformats.org/officeDocument/2006/relationships/hyperlink" Target="https://doi.org/10.1038/sj.cdd.4402028" TargetMode="External"/><Relationship Id="rId99" Type="http://schemas.openxmlformats.org/officeDocument/2006/relationships/hyperlink" Target="https://doi.org/10.1038/sj.emboj.7601126" TargetMode="External"/><Relationship Id="rId100" Type="http://schemas.openxmlformats.org/officeDocument/2006/relationships/hyperlink" Target="https://doi.org/10.1038/sj.onc.1203362" TargetMode="External"/><Relationship Id="rId101" Type="http://schemas.openxmlformats.org/officeDocument/2006/relationships/hyperlink" Target="https://doi.org/10.1038/srep23258" TargetMode="External"/><Relationship Id="rId102" Type="http://schemas.openxmlformats.org/officeDocument/2006/relationships/hyperlink" Target="https://doi.org/10.1038/srep29916" TargetMode="External"/><Relationship Id="rId103" Type="http://schemas.openxmlformats.org/officeDocument/2006/relationships/hyperlink" Target="https://doi.org/10.1042/bcj20190410" TargetMode="External"/><Relationship Id="rId104" Type="http://schemas.openxmlformats.org/officeDocument/2006/relationships/hyperlink" Target="https://doi.org/10.1042/cs20150622" TargetMode="External"/><Relationship Id="rId105" Type="http://schemas.openxmlformats.org/officeDocument/2006/relationships/hyperlink" Target="https://doi.org/10.1042/cs20258735" TargetMode="External"/><Relationship Id="rId106" Type="http://schemas.openxmlformats.org/officeDocument/2006/relationships/hyperlink" Target="https://doi.org/10.1046/j.1471-4159.2000.0750788.x" TargetMode="External"/><Relationship Id="rId107" Type="http://schemas.openxmlformats.org/officeDocument/2006/relationships/hyperlink" Target="https://doi.org/10.1046/j.1471-4159.2001.00495.x" TargetMode="External"/><Relationship Id="rId108" Type="http://schemas.openxmlformats.org/officeDocument/2006/relationships/hyperlink" Target="https://doi.org/10.1053/joca.2002.0827" TargetMode="External"/><Relationship Id="rId109" Type="http://schemas.openxmlformats.org/officeDocument/2006/relationships/hyperlink" Target="https://doi.org/10.1073/pnas.0600678103" TargetMode="External"/><Relationship Id="rId110" Type="http://schemas.openxmlformats.org/officeDocument/2006/relationships/hyperlink" Target="https://doi.org/10.1073/pnas.0808249105" TargetMode="External"/><Relationship Id="rId111" Type="http://schemas.openxmlformats.org/officeDocument/2006/relationships/hyperlink" Target="https://doi.org/10.1073/pnas.090491897" TargetMode="External"/><Relationship Id="rId112" Type="http://schemas.openxmlformats.org/officeDocument/2006/relationships/hyperlink" Target="https://doi.org/10.1073/pnas.1319569111" TargetMode="External"/><Relationship Id="rId113" Type="http://schemas.openxmlformats.org/officeDocument/2006/relationships/hyperlink" Target="https://doi.org/10.1073/pnas.2209184120" TargetMode="External"/><Relationship Id="rId114" Type="http://schemas.openxmlformats.org/officeDocument/2006/relationships/hyperlink" Target="https://doi.org/10.1074/jbc.271.44.27723" TargetMode="External"/><Relationship Id="rId115" Type="http://schemas.openxmlformats.org/officeDocument/2006/relationships/hyperlink" Target="https://doi.org/10.1074/jbc.271.7.3355" TargetMode="External"/><Relationship Id="rId116" Type="http://schemas.openxmlformats.org/officeDocument/2006/relationships/hyperlink" Target="https://doi.org/10.1074/jbc.273.22.13375" TargetMode="External"/><Relationship Id="rId117" Type="http://schemas.openxmlformats.org/officeDocument/2006/relationships/hyperlink" Target="https://doi.org/10.1074/jbc.273.3.1733" TargetMode="External"/><Relationship Id="rId118" Type="http://schemas.openxmlformats.org/officeDocument/2006/relationships/hyperlink" Target="https://doi.org/10.1074/jbc.275.5.3577" TargetMode="External"/><Relationship Id="rId119" Type="http://schemas.openxmlformats.org/officeDocument/2006/relationships/hyperlink" Target="https://doi.org/10.1074/jbc.a115.702571" TargetMode="External"/><Relationship Id="rId120" Type="http://schemas.openxmlformats.org/officeDocument/2006/relationships/hyperlink" Target="https://doi.org/10.1074/jbc.m107977200" TargetMode="External"/><Relationship Id="rId121" Type="http://schemas.openxmlformats.org/officeDocument/2006/relationships/hyperlink" Target="https://doi.org/10.1074/jbc.m109690200" TargetMode="External"/><Relationship Id="rId122" Type="http://schemas.openxmlformats.org/officeDocument/2006/relationships/hyperlink" Target="https://doi.org/10.1074/jbc.m111.284224" TargetMode="External"/><Relationship Id="rId123" Type="http://schemas.openxmlformats.org/officeDocument/2006/relationships/hyperlink" Target="https://doi.org/10.1074/jbc.m111.334466" TargetMode="External"/><Relationship Id="rId124" Type="http://schemas.openxmlformats.org/officeDocument/2006/relationships/hyperlink" Target="https://doi.org/10.1074/jbc.m112.365882" TargetMode="External"/><Relationship Id="rId125" Type="http://schemas.openxmlformats.org/officeDocument/2006/relationships/hyperlink" Target="https://doi.org/10.1074/jbc.m112.440552" TargetMode="External"/><Relationship Id="rId126" Type="http://schemas.openxmlformats.org/officeDocument/2006/relationships/hyperlink" Target="https://doi.org/10.1074/jbc.m201283200" TargetMode="External"/><Relationship Id="rId127" Type="http://schemas.openxmlformats.org/officeDocument/2006/relationships/hyperlink" Target="https://doi.org/10.1074/jbc.m208300200" TargetMode="External"/><Relationship Id="rId128" Type="http://schemas.openxmlformats.org/officeDocument/2006/relationships/hyperlink" Target="https://doi.org/10.1074/jbc.m311033200" TargetMode="External"/><Relationship Id="rId129" Type="http://schemas.openxmlformats.org/officeDocument/2006/relationships/hyperlink" Target="https://doi.org/10.1074/jbc.m411793200" TargetMode="External"/><Relationship Id="rId130" Type="http://schemas.openxmlformats.org/officeDocument/2006/relationships/hyperlink" Target="https://doi.org/10.1074/jbc.m508510200" TargetMode="External"/><Relationship Id="rId131" Type="http://schemas.openxmlformats.org/officeDocument/2006/relationships/hyperlink" Target="https://doi.org/10.1074/jbc.m604322200" TargetMode="External"/><Relationship Id="rId132" Type="http://schemas.openxmlformats.org/officeDocument/2006/relationships/hyperlink" Target="https://doi.org/10.1074/jbc.m608086200" TargetMode="External"/><Relationship Id="rId133" Type="http://schemas.openxmlformats.org/officeDocument/2006/relationships/hyperlink" Target="https://doi.org/10.1074/jbc.m608995200" TargetMode="External"/><Relationship Id="rId134" Type="http://schemas.openxmlformats.org/officeDocument/2006/relationships/hyperlink" Target="https://doi.org/10.1074/jbc.m706638200" TargetMode="External"/><Relationship Id="rId135" Type="http://schemas.openxmlformats.org/officeDocument/2006/relationships/hyperlink" Target="https://doi.org/10.1074/jbc.m805711200" TargetMode="External"/><Relationship Id="rId136" Type="http://schemas.openxmlformats.org/officeDocument/2006/relationships/hyperlink" Target="https://doi.org/10.1074/jbc.m808048200" TargetMode="External"/><Relationship Id="rId137" Type="http://schemas.openxmlformats.org/officeDocument/2006/relationships/hyperlink" Target="https://doi.org/10.1080/03008207.2020.1736578" TargetMode="External"/><Relationship Id="rId138" Type="http://schemas.openxmlformats.org/officeDocument/2006/relationships/hyperlink" Target="https://doi.org/10.1080/03008207.2021.1952193" TargetMode="External"/><Relationship Id="rId139" Type="http://schemas.openxmlformats.org/officeDocument/2006/relationships/hyperlink" Target="https://doi.org/10.1083/jcb.200111073" TargetMode="External"/><Relationship Id="rId140" Type="http://schemas.openxmlformats.org/officeDocument/2006/relationships/hyperlink" Target="https://doi.org/10.1083/jcb.200211089" TargetMode="External"/><Relationship Id="rId141" Type="http://schemas.openxmlformats.org/officeDocument/2006/relationships/hyperlink" Target="https://doi.org/10.1083/jcb.200312045" TargetMode="External"/><Relationship Id="rId142" Type="http://schemas.openxmlformats.org/officeDocument/2006/relationships/hyperlink" Target="https://doi.org/10.1083/jcb.200805048" TargetMode="External"/><Relationship Id="rId143" Type="http://schemas.openxmlformats.org/officeDocument/2006/relationships/hyperlink" Target="https://doi.org/10.1089/scd.2010.0465" TargetMode="External"/><Relationship Id="rId144" Type="http://schemas.openxmlformats.org/officeDocument/2006/relationships/hyperlink" Target="https://doi.org/10.1091/mbc.e04-12-1082" TargetMode="External"/><Relationship Id="rId145" Type="http://schemas.openxmlformats.org/officeDocument/2006/relationships/hyperlink" Target="https://doi.org/10.1091/mbc.e06-03-0207" TargetMode="External"/><Relationship Id="rId146" Type="http://schemas.openxmlformats.org/officeDocument/2006/relationships/hyperlink" Target="https://doi.org/10.1091/mbc.e08-12-1248" TargetMode="External"/><Relationship Id="rId147" Type="http://schemas.openxmlformats.org/officeDocument/2006/relationships/hyperlink" Target="https://doi.org/10.1093/cvr/cvu053" TargetMode="External"/><Relationship Id="rId148" Type="http://schemas.openxmlformats.org/officeDocument/2006/relationships/hyperlink" Target="https://doi.org/10.1093/emboj/17.2.414" TargetMode="External"/><Relationship Id="rId149" Type="http://schemas.openxmlformats.org/officeDocument/2006/relationships/hyperlink" Target="https://doi.org/10.1096/fj.13-243741" TargetMode="External"/><Relationship Id="rId150" Type="http://schemas.openxmlformats.org/officeDocument/2006/relationships/hyperlink" Target="https://doi.org/10.1096/fj.201802725rrr" TargetMode="External"/><Relationship Id="rId151" Type="http://schemas.openxmlformats.org/officeDocument/2006/relationships/hyperlink" Target="https://doi.org/10.1097/01.brs.0000159096.11248.6d" TargetMode="External"/><Relationship Id="rId152" Type="http://schemas.openxmlformats.org/officeDocument/2006/relationships/hyperlink" Target="https://doi.org/10.1097/brs.0000000000001220" TargetMode="External"/><Relationship Id="rId153" Type="http://schemas.openxmlformats.org/officeDocument/2006/relationships/hyperlink" Target="https://doi.org/10.1097/brs.0000000000001235" TargetMode="External"/><Relationship Id="rId154" Type="http://schemas.openxmlformats.org/officeDocument/2006/relationships/hyperlink" Target="https://doi.org/10.1101/gad.1230704" TargetMode="External"/><Relationship Id="rId155" Type="http://schemas.openxmlformats.org/officeDocument/2006/relationships/hyperlink" Target="https://doi.org/10.1101/gad.1482906" TargetMode="External"/><Relationship Id="rId156" Type="http://schemas.openxmlformats.org/officeDocument/2006/relationships/hyperlink" Target="https://doi.org/10.1101/gad.219402.113" TargetMode="External"/><Relationship Id="rId157" Type="http://schemas.openxmlformats.org/officeDocument/2006/relationships/hyperlink" Target="https://doi.org/10.1101/gad.543109" TargetMode="External"/><Relationship Id="rId158" Type="http://schemas.openxmlformats.org/officeDocument/2006/relationships/hyperlink" Target="https://doi.org/10.1111/cpr.12492" TargetMode="External"/><Relationship Id="rId159" Type="http://schemas.openxmlformats.org/officeDocument/2006/relationships/hyperlink" Target="https://doi.org/10.1111/cpr.13438" TargetMode="External"/><Relationship Id="rId160" Type="http://schemas.openxmlformats.org/officeDocument/2006/relationships/hyperlink" Target="https://doi.org/10.1111/j.1067-1927.2005.130206.x" TargetMode="External"/><Relationship Id="rId161" Type="http://schemas.openxmlformats.org/officeDocument/2006/relationships/hyperlink" Target="https://doi.org/10.1111/j.1476-5381.2009.00143.x" TargetMode="External"/><Relationship Id="rId162" Type="http://schemas.openxmlformats.org/officeDocument/2006/relationships/hyperlink" Target="https://doi.org/10.1111/j.1582-4934.2012.01553.x" TargetMode="External"/><Relationship Id="rId163" Type="http://schemas.openxmlformats.org/officeDocument/2006/relationships/hyperlink" Target="https://doi.org/10.1111/jcmm.18048" TargetMode="External"/><Relationship Id="rId164" Type="http://schemas.openxmlformats.org/officeDocument/2006/relationships/hyperlink" Target="https://doi.org/10.1124/mol.109.056473" TargetMode="External"/><Relationship Id="rId165" Type="http://schemas.openxmlformats.org/officeDocument/2006/relationships/hyperlink" Target="https://doi.org/10.1126/science.1068712" TargetMode="External"/><Relationship Id="rId166" Type="http://schemas.openxmlformats.org/officeDocument/2006/relationships/hyperlink" Target="https://doi.org/10.1126/science.1165946" TargetMode="External"/><Relationship Id="rId167" Type="http://schemas.openxmlformats.org/officeDocument/2006/relationships/hyperlink" Target="https://doi.org/10.1126/science.271.5249.645" TargetMode="External"/><Relationship Id="rId168" Type="http://schemas.openxmlformats.org/officeDocument/2006/relationships/hyperlink" Target="https://doi.org/10.1126/science.277.5325.567" TargetMode="External"/><Relationship Id="rId169" Type="http://schemas.openxmlformats.org/officeDocument/2006/relationships/hyperlink" Target="https://doi.org/10.1128/mcb.00015-07" TargetMode="External"/><Relationship Id="rId170" Type="http://schemas.openxmlformats.org/officeDocument/2006/relationships/hyperlink" Target="https://doi.org/10.1128/mcb.00409-10" TargetMode="External"/><Relationship Id="rId171" Type="http://schemas.openxmlformats.org/officeDocument/2006/relationships/hyperlink" Target="https://doi.org/10.1128/mcb.00601-09" TargetMode="External"/><Relationship Id="rId172" Type="http://schemas.openxmlformats.org/officeDocument/2006/relationships/hyperlink" Target="https://doi.org/10.1128/mcb.01204-10" TargetMode="External"/><Relationship Id="rId173" Type="http://schemas.openxmlformats.org/officeDocument/2006/relationships/hyperlink" Target="https://doi.org/10.1128/mcb.23.1.131-139.2003" TargetMode="External"/><Relationship Id="rId174" Type="http://schemas.openxmlformats.org/officeDocument/2006/relationships/hyperlink" Target="https://doi.org/10.1152/ajpcell.00355.2021" TargetMode="External"/><Relationship Id="rId175" Type="http://schemas.openxmlformats.org/officeDocument/2006/relationships/hyperlink" Target="https://doi.org/10.1152/ajprenal.00591.2012" TargetMode="External"/><Relationship Id="rId176" Type="http://schemas.openxmlformats.org/officeDocument/2006/relationships/hyperlink" Target="https://doi.org/10.1152/physrev.00026.2020" TargetMode="External"/><Relationship Id="rId177" Type="http://schemas.openxmlformats.org/officeDocument/2006/relationships/hyperlink" Target="https://doi.org/10.1155/2022/7655142" TargetMode="External"/><Relationship Id="rId178" Type="http://schemas.openxmlformats.org/officeDocument/2006/relationships/hyperlink" Target="https://doi.org/10.1159/000489804" TargetMode="External"/><Relationship Id="rId179" Type="http://schemas.openxmlformats.org/officeDocument/2006/relationships/hyperlink" Target="https://doi.org/10.1159/000493225" TargetMode="External"/><Relationship Id="rId180" Type="http://schemas.openxmlformats.org/officeDocument/2006/relationships/hyperlink" Target="https://doi.org/10.1160/th13-06-0484" TargetMode="External"/><Relationship Id="rId181" Type="http://schemas.openxmlformats.org/officeDocument/2006/relationships/hyperlink" Target="https://doi.org/10.1161/atvbaha.117.310502" TargetMode="External"/><Relationship Id="rId182" Type="http://schemas.openxmlformats.org/officeDocument/2006/relationships/hyperlink" Target="https://doi.org/10.1164/rccm.200907-1047oc" TargetMode="External"/><Relationship Id="rId183" Type="http://schemas.openxmlformats.org/officeDocument/2006/relationships/hyperlink" Target="https://doi.org/10.1172/jci.insight.131382" TargetMode="External"/><Relationship Id="rId184" Type="http://schemas.openxmlformats.org/officeDocument/2006/relationships/hyperlink" Target="https://doi.org/10.1182/blood-2005-09-3541" TargetMode="External"/><Relationship Id="rId185" Type="http://schemas.openxmlformats.org/officeDocument/2006/relationships/hyperlink" Target="https://doi.org/10.1186/ar1765" TargetMode="External"/><Relationship Id="rId186" Type="http://schemas.openxmlformats.org/officeDocument/2006/relationships/hyperlink" Target="https://doi.org/10.1186/ar2151" TargetMode="External"/><Relationship Id="rId187" Type="http://schemas.openxmlformats.org/officeDocument/2006/relationships/hyperlink" Target="https://doi.org/10.1186/ar4254" TargetMode="External"/><Relationship Id="rId188" Type="http://schemas.openxmlformats.org/officeDocument/2006/relationships/hyperlink" Target="https://doi.org/10.1186/bcr922" TargetMode="External"/><Relationship Id="rId189" Type="http://schemas.openxmlformats.org/officeDocument/2006/relationships/hyperlink" Target="https://doi.org/10.1186/s11658-023-00489-y" TargetMode="External"/><Relationship Id="rId190" Type="http://schemas.openxmlformats.org/officeDocument/2006/relationships/hyperlink" Target="https://doi.org/10.1186/s12950-024-00398-7" TargetMode="External"/><Relationship Id="rId191" Type="http://schemas.openxmlformats.org/officeDocument/2006/relationships/hyperlink" Target="https://doi.org/10.1186/s12951-023-02075-y" TargetMode="External"/><Relationship Id="rId192" Type="http://schemas.openxmlformats.org/officeDocument/2006/relationships/hyperlink" Target="https://doi.org/10.1186/s12967-016-0833-9" TargetMode="External"/><Relationship Id="rId193" Type="http://schemas.openxmlformats.org/officeDocument/2006/relationships/hyperlink" Target="https://doi.org/10.1186/s13018-015-0296-3" TargetMode="External"/><Relationship Id="rId194" Type="http://schemas.openxmlformats.org/officeDocument/2006/relationships/hyperlink" Target="https://doi.org/10.1186/s13018-023-03815-4" TargetMode="External"/><Relationship Id="rId195" Type="http://schemas.openxmlformats.org/officeDocument/2006/relationships/hyperlink" Target="https://doi.org/10.1186/s13075-014-0416-1" TargetMode="External"/><Relationship Id="rId196" Type="http://schemas.openxmlformats.org/officeDocument/2006/relationships/hyperlink" Target="https://doi.org/10.1186/s13075-018-1723-8" TargetMode="External"/><Relationship Id="rId197" Type="http://schemas.openxmlformats.org/officeDocument/2006/relationships/hyperlink" Target="https://doi.org/10.1194/jlr.m700419-jlr200" TargetMode="External"/><Relationship Id="rId198" Type="http://schemas.openxmlformats.org/officeDocument/2006/relationships/hyperlink" Target="https://doi.org/10.1210/me.2010-0037" TargetMode="External"/><Relationship Id="rId199" Type="http://schemas.openxmlformats.org/officeDocument/2006/relationships/hyperlink" Target="https://doi.org/10.1242/dev.134502" TargetMode="External"/><Relationship Id="rId200" Type="http://schemas.openxmlformats.org/officeDocument/2006/relationships/hyperlink" Target="https://doi.org/10.1242/jcs.001586" TargetMode="External"/><Relationship Id="rId201" Type="http://schemas.openxmlformats.org/officeDocument/2006/relationships/hyperlink" Target="https://doi.org/10.1242/jcs.100107" TargetMode="External"/><Relationship Id="rId202" Type="http://schemas.openxmlformats.org/officeDocument/2006/relationships/hyperlink" Target="https://doi.org/10.12659/msm.913726" TargetMode="External"/><Relationship Id="rId203" Type="http://schemas.openxmlformats.org/officeDocument/2006/relationships/hyperlink" Target="https://doi.org/10.1359/jbmr.070322" TargetMode="External"/><Relationship Id="rId204" Type="http://schemas.openxmlformats.org/officeDocument/2006/relationships/hyperlink" Target="https://doi.org/10.1371/journal.pgen.1002356" TargetMode="External"/><Relationship Id="rId205" Type="http://schemas.openxmlformats.org/officeDocument/2006/relationships/hyperlink" Target="https://doi.org/10.1371/journal.pone.0039679" TargetMode="External"/><Relationship Id="rId206" Type="http://schemas.openxmlformats.org/officeDocument/2006/relationships/hyperlink" Target="https://doi.org/10.1371/journal.pone.0082045" TargetMode="External"/><Relationship Id="rId207" Type="http://schemas.openxmlformats.org/officeDocument/2006/relationships/hyperlink" Target="https://doi.org/10.1371/journal.pone.0158619" TargetMode="External"/><Relationship Id="rId208" Type="http://schemas.openxmlformats.org/officeDocument/2006/relationships/hyperlink" Target="https://doi.org/10.15252/embj.201489062" TargetMode="External"/><Relationship Id="rId209" Type="http://schemas.openxmlformats.org/officeDocument/2006/relationships/hyperlink" Target="https://doi.org/10.18632/oncotarget.18628" TargetMode="External"/><Relationship Id="rId210" Type="http://schemas.openxmlformats.org/officeDocument/2006/relationships/hyperlink" Target="https://doi.org/10.18632/oncotarget.3631" TargetMode="External"/><Relationship Id="rId211" Type="http://schemas.openxmlformats.org/officeDocument/2006/relationships/hyperlink" Target="https://doi.org/10.21037/atm-21-2701" TargetMode="External"/><Relationship Id="rId212" Type="http://schemas.openxmlformats.org/officeDocument/2006/relationships/hyperlink" Target="https://doi.org/10.2147/dddt.s203974" TargetMode="External"/><Relationship Id="rId213" Type="http://schemas.openxmlformats.org/officeDocument/2006/relationships/hyperlink" Target="https://doi.org/10.2147/jir.s444758" TargetMode="External"/><Relationship Id="rId214" Type="http://schemas.openxmlformats.org/officeDocument/2006/relationships/hyperlink" Target="https://doi.org/10.22203/ecm.v030a07" TargetMode="External"/><Relationship Id="rId215" Type="http://schemas.openxmlformats.org/officeDocument/2006/relationships/hyperlink" Target="https://doi.org/10.22203/ecm.v032a08" TargetMode="External"/><Relationship Id="rId216" Type="http://schemas.openxmlformats.org/officeDocument/2006/relationships/hyperlink" Target="https://doi.org/10.2460/ajvr.73.10.1553" TargetMode="External"/><Relationship Id="rId217" Type="http://schemas.openxmlformats.org/officeDocument/2006/relationships/hyperlink" Target="https://doi.org/10.3233/jad-2010-100465" TargetMode="External"/><Relationship Id="rId218" Type="http://schemas.openxmlformats.org/officeDocument/2006/relationships/hyperlink" Target="https://doi.org/10.3389/fcell.2023.1324561" TargetMode="External"/><Relationship Id="rId219" Type="http://schemas.openxmlformats.org/officeDocument/2006/relationships/hyperlink" Target="https://doi.org/10.3389/fcell.2024.1423665" TargetMode="External"/><Relationship Id="rId220" Type="http://schemas.openxmlformats.org/officeDocument/2006/relationships/hyperlink" Target="https://doi.org/10.3389/fphar.2017.00756" TargetMode="External"/><Relationship Id="rId221" Type="http://schemas.openxmlformats.org/officeDocument/2006/relationships/hyperlink" Target="https://doi.org/10.3389/fphar.2024.1476255" TargetMode="External"/><Relationship Id="rId222" Type="http://schemas.openxmlformats.org/officeDocument/2006/relationships/hyperlink" Target="https://doi.org/10.3390/antiox13060626" TargetMode="External"/><Relationship Id="rId223" Type="http://schemas.openxmlformats.org/officeDocument/2006/relationships/hyperlink" Target="https://doi.org/10.3390/cells9010147" TargetMode="External"/><Relationship Id="rId224" Type="http://schemas.openxmlformats.org/officeDocument/2006/relationships/hyperlink" Target="https://doi.org/10.3390/ijms15011176" TargetMode="External"/><Relationship Id="rId225" Type="http://schemas.openxmlformats.org/officeDocument/2006/relationships/hyperlink" Target="https://doi.org/10.3390/ijms20040972" TargetMode="External"/><Relationship Id="rId226" Type="http://schemas.openxmlformats.org/officeDocument/2006/relationships/hyperlink" Target="https://doi.org/10.3390/ijms222011082" TargetMode="External"/><Relationship Id="rId227" Type="http://schemas.openxmlformats.org/officeDocument/2006/relationships/hyperlink" Target="https://doi.org/10.3390/ijms222111355" TargetMode="External"/><Relationship Id="rId228" Type="http://schemas.openxmlformats.org/officeDocument/2006/relationships/hyperlink" Target="https://doi.org/10.3390/ijms241210004" TargetMode="External"/><Relationship Id="rId229" Type="http://schemas.openxmlformats.org/officeDocument/2006/relationships/hyperlink" Target="https://doi.org/10.3724/abbs.2024027" TargetMode="External"/><Relationship Id="rId230" Type="http://schemas.openxmlformats.org/officeDocument/2006/relationships/hyperlink" Target="https://doi.org/10.3892/etm.2022.11193" TargetMode="External"/><Relationship Id="rId231" Type="http://schemas.openxmlformats.org/officeDocument/2006/relationships/hyperlink" Target="https://doi.org/10.3892/ijmm.2017.3005" TargetMode="External"/><Relationship Id="rId232" Type="http://schemas.openxmlformats.org/officeDocument/2006/relationships/hyperlink" Target="https://doi.org/10.3892/ijmm.2018.3921" TargetMode="External"/><Relationship Id="rId233" Type="http://schemas.openxmlformats.org/officeDocument/2006/relationships/hyperlink" Target="https://doi.org/10.3892/ijmm.2021.4956" TargetMode="External"/><Relationship Id="rId234" Type="http://schemas.openxmlformats.org/officeDocument/2006/relationships/hyperlink" Target="https://doi.org/10.3892/mmr.2013.1729" TargetMode="External"/><Relationship Id="rId235" Type="http://schemas.openxmlformats.org/officeDocument/2006/relationships/hyperlink" Target="https://doi.org/10.4049/jimmunol.1402554" TargetMode="External"/><Relationship Id="rId236"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B4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50"/>
    <col collapsed="false" customWidth="true" hidden="false" outlineLevel="0" max="2" min="2" style="0" width="110"/>
  </cols>
  <sheetData>
    <row r="1" customFormat="false" ht="22.05" hidden="false" customHeight="false" outlineLevel="0" collapsed="false">
      <c r="A1" s="1" t="s">
        <v>0</v>
      </c>
    </row>
    <row r="2" customFormat="false" ht="15" hidden="false" customHeight="false" outlineLevel="0" collapsed="false">
      <c r="A2" s="2" t="s">
        <v>1</v>
      </c>
      <c r="B2" s="2"/>
    </row>
    <row r="4" customFormat="false" ht="15" hidden="false" customHeight="false" outlineLevel="0" collapsed="false">
      <c r="A4" s="3" t="s">
        <v>2</v>
      </c>
      <c r="B4" s="4"/>
    </row>
    <row r="5" customFormat="false" ht="30.75" hidden="false" customHeight="true" outlineLevel="0" collapsed="false">
      <c r="A5" s="5" t="s">
        <v>3</v>
      </c>
      <c r="B5" s="6" t="s">
        <v>4</v>
      </c>
    </row>
    <row r="6" customFormat="false" ht="16.5" hidden="false" customHeight="true" outlineLevel="0" collapsed="false">
      <c r="A6" s="5" t="s">
        <v>5</v>
      </c>
      <c r="B6" s="6" t="n">
        <f aca="false">COUNTA(Interactions!A:A)-1</f>
        <v>353</v>
      </c>
    </row>
    <row r="7" customFormat="false" ht="15" hidden="false" customHeight="false" outlineLevel="0" collapsed="false">
      <c r="A7" s="5" t="s">
        <v>6</v>
      </c>
      <c r="B7" s="6" t="n">
        <v>146</v>
      </c>
    </row>
    <row r="8" customFormat="false" ht="30.75" hidden="false" customHeight="true" outlineLevel="0" collapsed="false">
      <c r="A8" s="5" t="s">
        <v>7</v>
      </c>
      <c r="B8" s="6" t="s">
        <v>8</v>
      </c>
    </row>
    <row r="10" customFormat="false" ht="15" hidden="false" customHeight="false" outlineLevel="0" collapsed="false">
      <c r="A10" s="3" t="s">
        <v>9</v>
      </c>
      <c r="B10" s="4"/>
    </row>
    <row r="11" customFormat="false" ht="45" hidden="false" customHeight="true" outlineLevel="0" collapsed="false">
      <c r="A11" s="5" t="s">
        <v>5</v>
      </c>
      <c r="B11" s="6" t="s">
        <v>10</v>
      </c>
    </row>
    <row r="12" customFormat="false" ht="30.75" hidden="false" customHeight="true" outlineLevel="0" collapsed="false">
      <c r="A12" s="5" t="s">
        <v>11</v>
      </c>
      <c r="B12" s="6" t="s">
        <v>12</v>
      </c>
    </row>
    <row r="13" customFormat="false" ht="30.75" hidden="false" customHeight="true" outlineLevel="0" collapsed="false">
      <c r="A13" s="5" t="s">
        <v>13</v>
      </c>
      <c r="B13" s="6" t="s">
        <v>14</v>
      </c>
    </row>
    <row r="14" customFormat="false" ht="16.5" hidden="false" customHeight="true" outlineLevel="0" collapsed="false">
      <c r="A14" s="5" t="s">
        <v>15</v>
      </c>
      <c r="B14" s="6" t="s">
        <v>16</v>
      </c>
    </row>
    <row r="16" customFormat="false" ht="15" hidden="false" customHeight="false" outlineLevel="0" collapsed="false">
      <c r="A16" s="3" t="s">
        <v>17</v>
      </c>
      <c r="B16" s="4"/>
    </row>
    <row r="17" customFormat="false" ht="16.5" hidden="false" customHeight="true" outlineLevel="0" collapsed="false">
      <c r="A17" s="5" t="s">
        <v>18</v>
      </c>
      <c r="B17" s="6" t="s">
        <v>19</v>
      </c>
    </row>
    <row r="18" customFormat="false" ht="30.75" hidden="false" customHeight="true" outlineLevel="0" collapsed="false">
      <c r="A18" s="5" t="s">
        <v>20</v>
      </c>
      <c r="B18" s="6" t="s">
        <v>21</v>
      </c>
    </row>
    <row r="19" customFormat="false" ht="16.5" hidden="false" customHeight="true" outlineLevel="0" collapsed="false">
      <c r="A19" s="5" t="s">
        <v>22</v>
      </c>
      <c r="B19" s="6" t="s">
        <v>23</v>
      </c>
    </row>
    <row r="20" customFormat="false" ht="16.5" hidden="false" customHeight="true" outlineLevel="0" collapsed="false">
      <c r="A20" s="5" t="s">
        <v>24</v>
      </c>
      <c r="B20" s="6" t="s">
        <v>25</v>
      </c>
    </row>
    <row r="21" customFormat="false" ht="30.75" hidden="false" customHeight="true" outlineLevel="0" collapsed="false">
      <c r="A21" s="5" t="s">
        <v>26</v>
      </c>
      <c r="B21" s="6" t="s">
        <v>27</v>
      </c>
    </row>
    <row r="22" customFormat="false" ht="16.5" hidden="false" customHeight="true" outlineLevel="0" collapsed="false">
      <c r="A22" s="5" t="s">
        <v>28</v>
      </c>
      <c r="B22" s="6" t="s">
        <v>29</v>
      </c>
    </row>
    <row r="23" customFormat="false" ht="30.75" hidden="false" customHeight="true" outlineLevel="0" collapsed="false">
      <c r="A23" s="5" t="s">
        <v>30</v>
      </c>
      <c r="B23" s="6" t="s">
        <v>31</v>
      </c>
    </row>
    <row r="24" customFormat="false" ht="16.5" hidden="false" customHeight="true" outlineLevel="0" collapsed="false">
      <c r="A24" s="5" t="s">
        <v>32</v>
      </c>
      <c r="B24" s="6" t="s">
        <v>33</v>
      </c>
    </row>
    <row r="25" customFormat="false" ht="16.5" hidden="false" customHeight="true" outlineLevel="0" collapsed="false">
      <c r="A25" s="5" t="s">
        <v>34</v>
      </c>
      <c r="B25" s="6" t="s">
        <v>35</v>
      </c>
    </row>
    <row r="26" customFormat="false" ht="16.5" hidden="false" customHeight="true" outlineLevel="0" collapsed="false">
      <c r="A26" s="5" t="s">
        <v>36</v>
      </c>
      <c r="B26" s="6" t="s">
        <v>37</v>
      </c>
    </row>
    <row r="27" customFormat="false" ht="16.5" hidden="false" customHeight="true" outlineLevel="0" collapsed="false">
      <c r="A27" s="5" t="s">
        <v>15</v>
      </c>
      <c r="B27" s="6" t="s">
        <v>38</v>
      </c>
    </row>
    <row r="28" customFormat="false" ht="30.75" hidden="false" customHeight="true" outlineLevel="0" collapsed="false">
      <c r="A28" s="5" t="s">
        <v>39</v>
      </c>
      <c r="B28" s="6" t="s">
        <v>40</v>
      </c>
    </row>
    <row r="30" customFormat="false" ht="15" hidden="false" customHeight="false" outlineLevel="0" collapsed="false">
      <c r="A30" s="3" t="s">
        <v>41</v>
      </c>
      <c r="B30" s="4"/>
    </row>
    <row r="31" customFormat="false" ht="30.75" hidden="false" customHeight="true" outlineLevel="0" collapsed="false">
      <c r="A31" s="5" t="s">
        <v>42</v>
      </c>
      <c r="B31" s="6" t="s">
        <v>43</v>
      </c>
    </row>
    <row r="32" customFormat="false" ht="30.75" hidden="false" customHeight="true" outlineLevel="0" collapsed="false">
      <c r="A32" s="5" t="s">
        <v>44</v>
      </c>
      <c r="B32" s="6" t="s">
        <v>45</v>
      </c>
    </row>
    <row r="33" customFormat="false" ht="30.75" hidden="false" customHeight="true" outlineLevel="0" collapsed="false">
      <c r="A33" s="5" t="s">
        <v>46</v>
      </c>
      <c r="B33" s="6" t="s">
        <v>47</v>
      </c>
    </row>
    <row r="34" customFormat="false" ht="30.75" hidden="false" customHeight="true" outlineLevel="0" collapsed="false">
      <c r="A34" s="5" t="s">
        <v>48</v>
      </c>
      <c r="B34" s="6" t="s">
        <v>49</v>
      </c>
    </row>
    <row r="36" customFormat="false" ht="15" hidden="false" customHeight="false" outlineLevel="0" collapsed="false">
      <c r="A36" s="3" t="s">
        <v>50</v>
      </c>
      <c r="B36" s="4"/>
    </row>
    <row r="37" customFormat="false" ht="45" hidden="false" customHeight="true" outlineLevel="0" collapsed="false">
      <c r="A37" s="5" t="s">
        <v>51</v>
      </c>
      <c r="B37" s="6" t="s">
        <v>52</v>
      </c>
    </row>
    <row r="38" customFormat="false" ht="30.75" hidden="false" customHeight="true" outlineLevel="0" collapsed="false">
      <c r="A38" s="5" t="s">
        <v>53</v>
      </c>
      <c r="B38" s="6" t="s">
        <v>54</v>
      </c>
    </row>
    <row r="39" customFormat="false" ht="16.5" hidden="false" customHeight="true" outlineLevel="0" collapsed="false">
      <c r="A39" s="5" t="s">
        <v>55</v>
      </c>
      <c r="B39" s="6" t="s">
        <v>56</v>
      </c>
    </row>
    <row r="41" customFormat="false" ht="15" hidden="false" customHeight="false" outlineLevel="0" collapsed="false">
      <c r="A41" s="3" t="s">
        <v>57</v>
      </c>
      <c r="B41" s="4"/>
    </row>
    <row r="42" customFormat="false" ht="30.75" hidden="false" customHeight="true" outlineLevel="0" collapsed="false">
      <c r="A42" s="5" t="s">
        <v>58</v>
      </c>
      <c r="B42" s="6" t="s">
        <v>59</v>
      </c>
    </row>
    <row r="43" customFormat="false" ht="16.5" hidden="false" customHeight="true" outlineLevel="0" collapsed="false">
      <c r="A43" s="5" t="s">
        <v>60</v>
      </c>
      <c r="B43" s="6" t="s">
        <v>61</v>
      </c>
    </row>
    <row r="44" customFormat="false" ht="16.5" hidden="false" customHeight="true" outlineLevel="0" collapsed="false">
      <c r="A44" s="5" t="s">
        <v>62</v>
      </c>
      <c r="B44" s="6" t="s">
        <v>63</v>
      </c>
    </row>
  </sheetData>
  <mergeCells count="1">
    <mergeCell ref="A2:B2"/>
  </mergeCells>
  <printOptions headings="false" gridLines="false" gridLinesSet="true" horizontalCentered="tru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395"/>
    <pageSetUpPr fitToPage="true"/>
  </sheetPr>
  <dimension ref="A1:T3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3"/>
    <col collapsed="false" customWidth="true" hidden="false" outlineLevel="0" max="4" min="2" style="0" width="11"/>
    <col collapsed="false" customWidth="true" hidden="false" outlineLevel="0" max="5" min="5" style="0" width="6"/>
    <col collapsed="false" customWidth="true" hidden="false" outlineLevel="0" max="6" min="6" style="0" width="50"/>
    <col collapsed="false" customWidth="true" hidden="false" outlineLevel="0" max="7" min="7" style="0" width="26"/>
    <col collapsed="false" customWidth="true" hidden="false" outlineLevel="0" max="8" min="8" style="0" width="11"/>
    <col collapsed="false" customWidth="true" hidden="false" outlineLevel="0" max="9" min="9" style="0" width="21"/>
    <col collapsed="false" customWidth="true" hidden="false" outlineLevel="0" max="10" min="10" style="0" width="17"/>
    <col collapsed="false" customWidth="true" hidden="false" outlineLevel="0" max="11" min="11" style="0" width="13"/>
    <col collapsed="false" customWidth="true" hidden="false" outlineLevel="0" max="12" min="12" style="0" width="34"/>
    <col collapsed="false" customWidth="true" hidden="false" outlineLevel="0" max="13" min="13" style="0" width="19"/>
    <col collapsed="false" customWidth="true" hidden="false" outlineLevel="0" max="14" min="14" style="0" width="24"/>
    <col collapsed="false" customWidth="true" hidden="false" outlineLevel="0" max="16" min="15" style="0" width="34"/>
    <col collapsed="false" customWidth="true" hidden="false" outlineLevel="0" max="17" min="17" style="0" width="24"/>
    <col collapsed="false" customWidth="true" hidden="false" outlineLevel="0" max="18" min="18" style="0" width="30"/>
    <col collapsed="false" customWidth="true" hidden="false" outlineLevel="0" max="19" min="19" style="0" width="22"/>
    <col collapsed="false" customWidth="true" hidden="false" outlineLevel="0" max="20" min="20" style="0" width="150"/>
  </cols>
  <sheetData>
    <row r="1" customFormat="false" ht="30" hidden="false" customHeight="true" outlineLevel="0" collapsed="false">
      <c r="A1" s="7" t="s">
        <v>18</v>
      </c>
      <c r="B1" s="7" t="s">
        <v>64</v>
      </c>
      <c r="C1" s="7" t="s">
        <v>65</v>
      </c>
      <c r="D1" s="7" t="s">
        <v>66</v>
      </c>
      <c r="E1" s="7" t="s">
        <v>67</v>
      </c>
      <c r="F1" s="7" t="s">
        <v>30</v>
      </c>
      <c r="G1" s="7" t="s">
        <v>68</v>
      </c>
      <c r="H1" s="7" t="s">
        <v>69</v>
      </c>
      <c r="I1" s="7" t="s">
        <v>44</v>
      </c>
      <c r="J1" s="7" t="s">
        <v>46</v>
      </c>
      <c r="K1" s="7" t="s">
        <v>48</v>
      </c>
      <c r="L1" s="7" t="s">
        <v>36</v>
      </c>
      <c r="M1" s="7" t="s">
        <v>15</v>
      </c>
      <c r="N1" s="7" t="s">
        <v>39</v>
      </c>
      <c r="O1" s="7" t="s">
        <v>70</v>
      </c>
      <c r="P1" s="7" t="s">
        <v>71</v>
      </c>
      <c r="Q1" s="7" t="s">
        <v>72</v>
      </c>
      <c r="R1" s="7" t="s">
        <v>73</v>
      </c>
      <c r="S1" s="7" t="s">
        <v>74</v>
      </c>
      <c r="T1" s="7" t="s">
        <v>34</v>
      </c>
    </row>
    <row r="2" customFormat="false" ht="15" hidden="false" customHeight="false" outlineLevel="0" collapsed="false">
      <c r="A2" s="8" t="s">
        <v>75</v>
      </c>
      <c r="B2" s="8" t="s">
        <v>76</v>
      </c>
      <c r="C2" s="8" t="s">
        <v>77</v>
      </c>
      <c r="D2" s="8" t="s">
        <v>78</v>
      </c>
      <c r="E2" s="9" t="n">
        <f aca="false">IF(C2="inhibition",-1,1)</f>
        <v>1</v>
      </c>
      <c r="F2" s="8" t="s">
        <v>79</v>
      </c>
      <c r="G2" s="10" t="s">
        <v>80</v>
      </c>
      <c r="H2" s="8" t="s">
        <v>81</v>
      </c>
      <c r="I2" s="8" t="s">
        <v>82</v>
      </c>
      <c r="J2" s="8" t="s">
        <v>83</v>
      </c>
      <c r="K2" s="8" t="s">
        <v>84</v>
      </c>
      <c r="L2" s="8" t="s">
        <v>85</v>
      </c>
      <c r="M2" s="8" t="s">
        <v>86</v>
      </c>
      <c r="N2" s="8"/>
      <c r="O2" s="8" t="s">
        <v>87</v>
      </c>
      <c r="P2" s="8" t="s">
        <v>88</v>
      </c>
      <c r="Q2" s="8" t="s">
        <v>89</v>
      </c>
      <c r="R2" s="8" t="s">
        <v>90</v>
      </c>
      <c r="S2" s="8" t="s">
        <v>84</v>
      </c>
      <c r="T2" s="8" t="s">
        <v>91</v>
      </c>
    </row>
    <row r="3" customFormat="false" ht="15" hidden="false" customHeight="false" outlineLevel="0" collapsed="false">
      <c r="A3" s="8" t="s">
        <v>92</v>
      </c>
      <c r="B3" s="8" t="s">
        <v>93</v>
      </c>
      <c r="C3" s="8" t="s">
        <v>77</v>
      </c>
      <c r="D3" s="8" t="s">
        <v>78</v>
      </c>
      <c r="E3" s="9" t="n">
        <f aca="false">IF(C3="inhibition",-1,1)</f>
        <v>1</v>
      </c>
      <c r="F3" s="8" t="s">
        <v>94</v>
      </c>
      <c r="G3" s="10" t="s">
        <v>95</v>
      </c>
      <c r="H3" s="8" t="s">
        <v>96</v>
      </c>
      <c r="I3" s="8" t="s">
        <v>82</v>
      </c>
      <c r="J3" s="8" t="s">
        <v>83</v>
      </c>
      <c r="K3" s="8" t="s">
        <v>84</v>
      </c>
      <c r="L3" s="8"/>
      <c r="M3" s="8" t="s">
        <v>86</v>
      </c>
      <c r="N3" s="8"/>
      <c r="O3" s="8" t="s">
        <v>87</v>
      </c>
      <c r="P3" s="8" t="s">
        <v>88</v>
      </c>
      <c r="Q3" s="8" t="s">
        <v>97</v>
      </c>
      <c r="R3" s="8" t="s">
        <v>98</v>
      </c>
      <c r="S3" s="8" t="s">
        <v>99</v>
      </c>
      <c r="T3" s="8" t="s">
        <v>100</v>
      </c>
    </row>
    <row r="4" customFormat="false" ht="15" hidden="false" customHeight="false" outlineLevel="0" collapsed="false">
      <c r="A4" s="8" t="s">
        <v>101</v>
      </c>
      <c r="B4" s="8" t="s">
        <v>102</v>
      </c>
      <c r="C4" s="8" t="s">
        <v>77</v>
      </c>
      <c r="D4" s="8" t="s">
        <v>78</v>
      </c>
      <c r="E4" s="9" t="n">
        <f aca="false">IF(C4="inhibition",-1,1)</f>
        <v>1</v>
      </c>
      <c r="F4" s="8" t="s">
        <v>103</v>
      </c>
      <c r="G4" s="10" t="s">
        <v>104</v>
      </c>
      <c r="H4" s="8" t="s">
        <v>105</v>
      </c>
      <c r="I4" s="8" t="s">
        <v>82</v>
      </c>
      <c r="J4" s="8" t="s">
        <v>106</v>
      </c>
      <c r="K4" s="8" t="s">
        <v>84</v>
      </c>
      <c r="L4" s="8"/>
      <c r="M4" s="8" t="s">
        <v>86</v>
      </c>
      <c r="N4" s="8"/>
      <c r="O4" s="8" t="s">
        <v>87</v>
      </c>
      <c r="P4" s="8" t="s">
        <v>88</v>
      </c>
      <c r="Q4" s="8" t="s">
        <v>97</v>
      </c>
      <c r="R4" s="8" t="s">
        <v>107</v>
      </c>
      <c r="S4" s="8" t="s">
        <v>108</v>
      </c>
      <c r="T4" s="8" t="s">
        <v>109</v>
      </c>
    </row>
    <row r="5" customFormat="false" ht="15" hidden="false" customHeight="false" outlineLevel="0" collapsed="false">
      <c r="A5" s="8" t="s">
        <v>110</v>
      </c>
      <c r="B5" s="8" t="s">
        <v>111</v>
      </c>
      <c r="C5" s="8" t="s">
        <v>77</v>
      </c>
      <c r="D5" s="8" t="s">
        <v>112</v>
      </c>
      <c r="E5" s="9" t="n">
        <f aca="false">IF(C5="inhibition",-1,1)</f>
        <v>1</v>
      </c>
      <c r="F5" s="8" t="s">
        <v>113</v>
      </c>
      <c r="G5" s="10" t="s">
        <v>114</v>
      </c>
      <c r="H5" s="8" t="s">
        <v>115</v>
      </c>
      <c r="I5" s="8" t="s">
        <v>82</v>
      </c>
      <c r="J5" s="8" t="s">
        <v>83</v>
      </c>
      <c r="K5" s="8" t="s">
        <v>84</v>
      </c>
      <c r="L5" s="8"/>
      <c r="M5" s="8" t="s">
        <v>86</v>
      </c>
      <c r="N5" s="8"/>
      <c r="O5" s="8" t="s">
        <v>87</v>
      </c>
      <c r="P5" s="8" t="s">
        <v>116</v>
      </c>
      <c r="Q5" s="8" t="s">
        <v>97</v>
      </c>
      <c r="R5" s="8" t="s">
        <v>117</v>
      </c>
      <c r="S5" s="8" t="s">
        <v>99</v>
      </c>
      <c r="T5" s="8" t="s">
        <v>118</v>
      </c>
    </row>
    <row r="6" customFormat="false" ht="15" hidden="false" customHeight="false" outlineLevel="0" collapsed="false">
      <c r="A6" s="8" t="s">
        <v>119</v>
      </c>
      <c r="B6" s="8" t="s">
        <v>120</v>
      </c>
      <c r="C6" s="8" t="s">
        <v>77</v>
      </c>
      <c r="D6" s="8" t="s">
        <v>112</v>
      </c>
      <c r="E6" s="9" t="n">
        <f aca="false">IF(C6="inhibition",-1,1)</f>
        <v>1</v>
      </c>
      <c r="F6" s="8" t="s">
        <v>121</v>
      </c>
      <c r="G6" s="10" t="s">
        <v>122</v>
      </c>
      <c r="H6" s="8" t="s">
        <v>123</v>
      </c>
      <c r="I6" s="8" t="s">
        <v>82</v>
      </c>
      <c r="J6" s="8" t="s">
        <v>83</v>
      </c>
      <c r="K6" s="8" t="s">
        <v>84</v>
      </c>
      <c r="L6" s="8"/>
      <c r="M6" s="8" t="s">
        <v>86</v>
      </c>
      <c r="N6" s="8"/>
      <c r="O6" s="8" t="s">
        <v>124</v>
      </c>
      <c r="P6" s="8" t="s">
        <v>116</v>
      </c>
      <c r="Q6" s="8" t="s">
        <v>97</v>
      </c>
      <c r="R6" s="8" t="s">
        <v>117</v>
      </c>
      <c r="S6" s="8" t="s">
        <v>125</v>
      </c>
      <c r="T6" s="8" t="s">
        <v>126</v>
      </c>
    </row>
    <row r="7" customFormat="false" ht="15" hidden="false" customHeight="false" outlineLevel="0" collapsed="false">
      <c r="A7" s="8" t="s">
        <v>127</v>
      </c>
      <c r="B7" s="8" t="s">
        <v>128</v>
      </c>
      <c r="C7" s="8" t="s">
        <v>77</v>
      </c>
      <c r="D7" s="8" t="s">
        <v>112</v>
      </c>
      <c r="E7" s="9" t="n">
        <f aca="false">IF(C7="inhibition",-1,1)</f>
        <v>1</v>
      </c>
      <c r="F7" s="8" t="s">
        <v>129</v>
      </c>
      <c r="G7" s="10" t="s">
        <v>130</v>
      </c>
      <c r="H7" s="8" t="s">
        <v>131</v>
      </c>
      <c r="I7" s="8" t="s">
        <v>82</v>
      </c>
      <c r="J7" s="8" t="s">
        <v>83</v>
      </c>
      <c r="K7" s="8" t="s">
        <v>84</v>
      </c>
      <c r="L7" s="8"/>
      <c r="M7" s="8" t="s">
        <v>86</v>
      </c>
      <c r="N7" s="8"/>
      <c r="O7" s="8" t="s">
        <v>87</v>
      </c>
      <c r="P7" s="8" t="s">
        <v>116</v>
      </c>
      <c r="Q7" s="8" t="s">
        <v>97</v>
      </c>
      <c r="R7" s="8" t="s">
        <v>83</v>
      </c>
      <c r="S7" s="8" t="s">
        <v>99</v>
      </c>
      <c r="T7" s="8" t="s">
        <v>132</v>
      </c>
    </row>
    <row r="8" customFormat="false" ht="15" hidden="false" customHeight="false" outlineLevel="0" collapsed="false">
      <c r="A8" s="8" t="s">
        <v>133</v>
      </c>
      <c r="B8" s="8" t="s">
        <v>134</v>
      </c>
      <c r="C8" s="8" t="s">
        <v>77</v>
      </c>
      <c r="D8" s="8" t="s">
        <v>112</v>
      </c>
      <c r="E8" s="9" t="n">
        <f aca="false">IF(C8="inhibition",-1,1)</f>
        <v>1</v>
      </c>
      <c r="F8" s="8" t="s">
        <v>135</v>
      </c>
      <c r="G8" s="10" t="s">
        <v>136</v>
      </c>
      <c r="H8" s="8" t="s">
        <v>137</v>
      </c>
      <c r="I8" s="8" t="s">
        <v>138</v>
      </c>
      <c r="J8" s="8" t="s">
        <v>83</v>
      </c>
      <c r="K8" s="8" t="s">
        <v>84</v>
      </c>
      <c r="L8" s="8" t="s">
        <v>139</v>
      </c>
      <c r="M8" s="8" t="s">
        <v>86</v>
      </c>
      <c r="N8" s="8"/>
      <c r="O8" s="8" t="s">
        <v>124</v>
      </c>
      <c r="P8" s="8" t="s">
        <v>116</v>
      </c>
      <c r="Q8" s="8" t="s">
        <v>140</v>
      </c>
      <c r="R8" s="8" t="s">
        <v>141</v>
      </c>
      <c r="S8" s="8" t="s">
        <v>84</v>
      </c>
      <c r="T8" s="8" t="s">
        <v>142</v>
      </c>
    </row>
    <row r="9" customFormat="false" ht="15" hidden="false" customHeight="false" outlineLevel="0" collapsed="false">
      <c r="A9" s="8" t="s">
        <v>143</v>
      </c>
      <c r="B9" s="8" t="s">
        <v>93</v>
      </c>
      <c r="C9" s="8" t="s">
        <v>144</v>
      </c>
      <c r="D9" s="8" t="s">
        <v>112</v>
      </c>
      <c r="E9" s="9" t="n">
        <f aca="false">IF(C9="inhibition",-1,1)</f>
        <v>-1</v>
      </c>
      <c r="F9" s="8" t="s">
        <v>94</v>
      </c>
      <c r="G9" s="10" t="s">
        <v>95</v>
      </c>
      <c r="H9" s="8" t="s">
        <v>96</v>
      </c>
      <c r="I9" s="8" t="s">
        <v>82</v>
      </c>
      <c r="J9" s="8" t="s">
        <v>83</v>
      </c>
      <c r="K9" s="8" t="s">
        <v>84</v>
      </c>
      <c r="L9" s="8"/>
      <c r="M9" s="8" t="s">
        <v>86</v>
      </c>
      <c r="N9" s="8"/>
      <c r="O9" s="8" t="s">
        <v>87</v>
      </c>
      <c r="P9" s="8" t="s">
        <v>116</v>
      </c>
      <c r="Q9" s="8" t="s">
        <v>97</v>
      </c>
      <c r="R9" s="8" t="s">
        <v>98</v>
      </c>
      <c r="S9" s="8" t="s">
        <v>99</v>
      </c>
      <c r="T9" s="8" t="s">
        <v>100</v>
      </c>
    </row>
    <row r="10" customFormat="false" ht="15" hidden="false" customHeight="false" outlineLevel="0" collapsed="false">
      <c r="A10" s="8" t="s">
        <v>145</v>
      </c>
      <c r="B10" s="8" t="s">
        <v>146</v>
      </c>
      <c r="C10" s="8" t="s">
        <v>77</v>
      </c>
      <c r="D10" s="8" t="s">
        <v>147</v>
      </c>
      <c r="E10" s="9" t="n">
        <f aca="false">IF(C10="inhibition",-1,1)</f>
        <v>1</v>
      </c>
      <c r="F10" s="8" t="s">
        <v>148</v>
      </c>
      <c r="G10" s="10" t="s">
        <v>149</v>
      </c>
      <c r="H10" s="8" t="s">
        <v>150</v>
      </c>
      <c r="I10" s="8" t="s">
        <v>82</v>
      </c>
      <c r="J10" s="8" t="s">
        <v>83</v>
      </c>
      <c r="K10" s="8" t="s">
        <v>84</v>
      </c>
      <c r="L10" s="8"/>
      <c r="M10" s="8" t="s">
        <v>86</v>
      </c>
      <c r="N10" s="8"/>
      <c r="O10" s="8" t="s">
        <v>151</v>
      </c>
      <c r="P10" s="8" t="s">
        <v>151</v>
      </c>
      <c r="Q10" s="8" t="s">
        <v>97</v>
      </c>
      <c r="R10" s="8" t="s">
        <v>117</v>
      </c>
      <c r="S10" s="8" t="s">
        <v>99</v>
      </c>
      <c r="T10" s="8" t="s">
        <v>152</v>
      </c>
    </row>
    <row r="11" customFormat="false" ht="15" hidden="false" customHeight="false" outlineLevel="0" collapsed="false">
      <c r="A11" s="8" t="s">
        <v>153</v>
      </c>
      <c r="B11" s="8" t="s">
        <v>154</v>
      </c>
      <c r="C11" s="8" t="s">
        <v>77</v>
      </c>
      <c r="D11" s="8" t="s">
        <v>147</v>
      </c>
      <c r="E11" s="9" t="n">
        <f aca="false">IF(C11="inhibition",-1,1)</f>
        <v>1</v>
      </c>
      <c r="F11" s="8" t="s">
        <v>155</v>
      </c>
      <c r="G11" s="10" t="s">
        <v>156</v>
      </c>
      <c r="H11" s="8" t="s">
        <v>157</v>
      </c>
      <c r="I11" s="8" t="s">
        <v>158</v>
      </c>
      <c r="J11" s="8" t="s">
        <v>159</v>
      </c>
      <c r="K11" s="8" t="s">
        <v>160</v>
      </c>
      <c r="L11" s="8"/>
      <c r="M11" s="8" t="s">
        <v>86</v>
      </c>
      <c r="N11" s="8"/>
      <c r="O11" s="8" t="s">
        <v>151</v>
      </c>
      <c r="P11" s="8" t="s">
        <v>151</v>
      </c>
      <c r="Q11" s="8" t="s">
        <v>160</v>
      </c>
      <c r="R11" s="8" t="s">
        <v>160</v>
      </c>
      <c r="S11" s="8" t="s">
        <v>160</v>
      </c>
      <c r="T11" s="8" t="s">
        <v>161</v>
      </c>
    </row>
    <row r="12" customFormat="false" ht="15" hidden="false" customHeight="false" outlineLevel="0" collapsed="false">
      <c r="A12" s="8" t="s">
        <v>162</v>
      </c>
      <c r="B12" s="8" t="s">
        <v>163</v>
      </c>
      <c r="C12" s="8" t="s">
        <v>144</v>
      </c>
      <c r="D12" s="8" t="s">
        <v>147</v>
      </c>
      <c r="E12" s="9" t="n">
        <f aca="false">IF(C12="inhibition",-1,1)</f>
        <v>-1</v>
      </c>
      <c r="F12" s="8" t="s">
        <v>164</v>
      </c>
      <c r="G12" s="10" t="s">
        <v>165</v>
      </c>
      <c r="H12" s="8" t="s">
        <v>166</v>
      </c>
      <c r="I12" s="8" t="s">
        <v>158</v>
      </c>
      <c r="J12" s="8" t="s">
        <v>159</v>
      </c>
      <c r="K12" s="8" t="s">
        <v>160</v>
      </c>
      <c r="L12" s="8" t="s">
        <v>167</v>
      </c>
      <c r="M12" s="8" t="s">
        <v>86</v>
      </c>
      <c r="N12" s="8"/>
      <c r="O12" s="8" t="s">
        <v>151</v>
      </c>
      <c r="P12" s="8" t="s">
        <v>151</v>
      </c>
      <c r="Q12" s="8" t="s">
        <v>160</v>
      </c>
      <c r="R12" s="8" t="s">
        <v>160</v>
      </c>
      <c r="S12" s="8" t="s">
        <v>160</v>
      </c>
      <c r="T12" s="8" t="s">
        <v>168</v>
      </c>
    </row>
    <row r="13" customFormat="false" ht="15" hidden="false" customHeight="false" outlineLevel="0" collapsed="false">
      <c r="A13" s="8" t="s">
        <v>169</v>
      </c>
      <c r="B13" s="8" t="s">
        <v>146</v>
      </c>
      <c r="C13" s="8" t="s">
        <v>77</v>
      </c>
      <c r="D13" s="8" t="s">
        <v>170</v>
      </c>
      <c r="E13" s="9" t="n">
        <f aca="false">IF(C13="inhibition",-1,1)</f>
        <v>1</v>
      </c>
      <c r="F13" s="8" t="s">
        <v>148</v>
      </c>
      <c r="G13" s="10" t="s">
        <v>149</v>
      </c>
      <c r="H13" s="8" t="s">
        <v>150</v>
      </c>
      <c r="I13" s="8" t="s">
        <v>82</v>
      </c>
      <c r="J13" s="8" t="s">
        <v>83</v>
      </c>
      <c r="K13" s="8" t="s">
        <v>84</v>
      </c>
      <c r="L13" s="8"/>
      <c r="M13" s="8" t="s">
        <v>86</v>
      </c>
      <c r="N13" s="8"/>
      <c r="O13" s="8" t="s">
        <v>151</v>
      </c>
      <c r="P13" s="8" t="s">
        <v>151</v>
      </c>
      <c r="Q13" s="8" t="s">
        <v>97</v>
      </c>
      <c r="R13" s="8" t="s">
        <v>117</v>
      </c>
      <c r="S13" s="8" t="s">
        <v>99</v>
      </c>
      <c r="T13" s="8" t="s">
        <v>152</v>
      </c>
    </row>
    <row r="14" customFormat="false" ht="15" hidden="false" customHeight="false" outlineLevel="0" collapsed="false">
      <c r="A14" s="8" t="s">
        <v>171</v>
      </c>
      <c r="B14" s="8" t="s">
        <v>172</v>
      </c>
      <c r="C14" s="8" t="s">
        <v>77</v>
      </c>
      <c r="D14" s="8" t="s">
        <v>170</v>
      </c>
      <c r="E14" s="9" t="n">
        <f aca="false">IF(C14="inhibition",-1,1)</f>
        <v>1</v>
      </c>
      <c r="F14" s="8" t="s">
        <v>155</v>
      </c>
      <c r="G14" s="10" t="s">
        <v>156</v>
      </c>
      <c r="H14" s="8" t="s">
        <v>157</v>
      </c>
      <c r="I14" s="8" t="s">
        <v>158</v>
      </c>
      <c r="J14" s="8" t="s">
        <v>159</v>
      </c>
      <c r="K14" s="8" t="s">
        <v>160</v>
      </c>
      <c r="L14" s="8"/>
      <c r="M14" s="8" t="s">
        <v>86</v>
      </c>
      <c r="N14" s="8"/>
      <c r="O14" s="8" t="s">
        <v>151</v>
      </c>
      <c r="P14" s="8" t="s">
        <v>151</v>
      </c>
      <c r="Q14" s="8" t="s">
        <v>160</v>
      </c>
      <c r="R14" s="8" t="s">
        <v>160</v>
      </c>
      <c r="S14" s="8" t="s">
        <v>160</v>
      </c>
      <c r="T14" s="8" t="s">
        <v>161</v>
      </c>
    </row>
    <row r="15" customFormat="false" ht="15" hidden="false" customHeight="false" outlineLevel="0" collapsed="false">
      <c r="A15" s="8" t="s">
        <v>173</v>
      </c>
      <c r="B15" s="8" t="s">
        <v>174</v>
      </c>
      <c r="C15" s="8" t="s">
        <v>144</v>
      </c>
      <c r="D15" s="8" t="s">
        <v>170</v>
      </c>
      <c r="E15" s="9" t="n">
        <f aca="false">IF(C15="inhibition",-1,1)</f>
        <v>-1</v>
      </c>
      <c r="F15" s="8" t="s">
        <v>164</v>
      </c>
      <c r="G15" s="10" t="s">
        <v>165</v>
      </c>
      <c r="H15" s="8" t="s">
        <v>166</v>
      </c>
      <c r="I15" s="8" t="s">
        <v>158</v>
      </c>
      <c r="J15" s="8" t="s">
        <v>159</v>
      </c>
      <c r="K15" s="8" t="s">
        <v>160</v>
      </c>
      <c r="L15" s="8" t="s">
        <v>175</v>
      </c>
      <c r="M15" s="8" t="s">
        <v>86</v>
      </c>
      <c r="N15" s="8"/>
      <c r="O15" s="8" t="s">
        <v>151</v>
      </c>
      <c r="P15" s="8" t="s">
        <v>151</v>
      </c>
      <c r="Q15" s="8" t="s">
        <v>160</v>
      </c>
      <c r="R15" s="8" t="s">
        <v>160</v>
      </c>
      <c r="S15" s="8" t="s">
        <v>160</v>
      </c>
      <c r="T15" s="8" t="s">
        <v>168</v>
      </c>
    </row>
    <row r="16" customFormat="false" ht="15" hidden="false" customHeight="false" outlineLevel="0" collapsed="false">
      <c r="A16" s="8" t="s">
        <v>176</v>
      </c>
      <c r="B16" s="8" t="s">
        <v>177</v>
      </c>
      <c r="C16" s="8" t="s">
        <v>77</v>
      </c>
      <c r="D16" s="8" t="s">
        <v>178</v>
      </c>
      <c r="E16" s="9" t="n">
        <f aca="false">IF(C16="inhibition",-1,1)</f>
        <v>1</v>
      </c>
      <c r="F16" s="8" t="s">
        <v>179</v>
      </c>
      <c r="G16" s="10" t="s">
        <v>180</v>
      </c>
      <c r="H16" s="8" t="s">
        <v>181</v>
      </c>
      <c r="I16" s="8" t="s">
        <v>158</v>
      </c>
      <c r="J16" s="8" t="s">
        <v>159</v>
      </c>
      <c r="K16" s="8" t="s">
        <v>160</v>
      </c>
      <c r="L16" s="8" t="s">
        <v>182</v>
      </c>
      <c r="M16" s="8" t="s">
        <v>86</v>
      </c>
      <c r="N16" s="8"/>
      <c r="O16" s="8" t="s">
        <v>183</v>
      </c>
      <c r="P16" s="8" t="s">
        <v>151</v>
      </c>
      <c r="Q16" s="8" t="s">
        <v>160</v>
      </c>
      <c r="R16" s="8" t="s">
        <v>160</v>
      </c>
      <c r="S16" s="8" t="s">
        <v>160</v>
      </c>
      <c r="T16" s="8" t="s">
        <v>184</v>
      </c>
    </row>
    <row r="17" customFormat="false" ht="15" hidden="false" customHeight="false" outlineLevel="0" collapsed="false">
      <c r="A17" s="8" t="s">
        <v>185</v>
      </c>
      <c r="B17" s="8" t="s">
        <v>186</v>
      </c>
      <c r="C17" s="8" t="s">
        <v>77</v>
      </c>
      <c r="D17" s="8" t="s">
        <v>178</v>
      </c>
      <c r="E17" s="9" t="n">
        <f aca="false">IF(C17="inhibition",-1,1)</f>
        <v>1</v>
      </c>
      <c r="F17" s="8" t="s">
        <v>187</v>
      </c>
      <c r="G17" s="10" t="s">
        <v>188</v>
      </c>
      <c r="H17" s="8" t="s">
        <v>189</v>
      </c>
      <c r="I17" s="8" t="s">
        <v>138</v>
      </c>
      <c r="J17" s="8" t="s">
        <v>106</v>
      </c>
      <c r="K17" s="8" t="s">
        <v>84</v>
      </c>
      <c r="L17" s="8"/>
      <c r="M17" s="8" t="s">
        <v>86</v>
      </c>
      <c r="N17" s="8"/>
      <c r="O17" s="8" t="s">
        <v>151</v>
      </c>
      <c r="P17" s="8" t="s">
        <v>151</v>
      </c>
      <c r="Q17" s="8" t="s">
        <v>190</v>
      </c>
      <c r="R17" s="8" t="s">
        <v>191</v>
      </c>
      <c r="S17" s="8" t="s">
        <v>99</v>
      </c>
      <c r="T17" s="8" t="s">
        <v>192</v>
      </c>
    </row>
    <row r="18" customFormat="false" ht="15" hidden="false" customHeight="false" outlineLevel="0" collapsed="false">
      <c r="A18" s="8" t="s">
        <v>193</v>
      </c>
      <c r="B18" s="8" t="s">
        <v>194</v>
      </c>
      <c r="C18" s="8" t="s">
        <v>77</v>
      </c>
      <c r="D18" s="8" t="s">
        <v>178</v>
      </c>
      <c r="E18" s="9" t="n">
        <f aca="false">IF(C18="inhibition",-1,1)</f>
        <v>1</v>
      </c>
      <c r="F18" s="8" t="s">
        <v>195</v>
      </c>
      <c r="G18" s="10" t="s">
        <v>196</v>
      </c>
      <c r="H18" s="8" t="s">
        <v>197</v>
      </c>
      <c r="I18" s="8" t="s">
        <v>158</v>
      </c>
      <c r="J18" s="8" t="s">
        <v>106</v>
      </c>
      <c r="K18" s="8" t="s">
        <v>84</v>
      </c>
      <c r="L18" s="8" t="s">
        <v>198</v>
      </c>
      <c r="M18" s="8" t="s">
        <v>86</v>
      </c>
      <c r="N18" s="8"/>
      <c r="O18" s="8" t="s">
        <v>199</v>
      </c>
      <c r="P18" s="8" t="s">
        <v>151</v>
      </c>
      <c r="Q18" s="8" t="s">
        <v>200</v>
      </c>
      <c r="R18" s="8" t="s">
        <v>201</v>
      </c>
      <c r="S18" s="8" t="s">
        <v>84</v>
      </c>
      <c r="T18" s="8" t="s">
        <v>202</v>
      </c>
    </row>
    <row r="19" customFormat="false" ht="15" hidden="false" customHeight="false" outlineLevel="0" collapsed="false">
      <c r="A19" s="8" t="s">
        <v>203</v>
      </c>
      <c r="B19" s="8" t="s">
        <v>204</v>
      </c>
      <c r="C19" s="8" t="s">
        <v>144</v>
      </c>
      <c r="D19" s="8" t="s">
        <v>178</v>
      </c>
      <c r="E19" s="9" t="n">
        <f aca="false">IF(C19="inhibition",-1,1)</f>
        <v>-1</v>
      </c>
      <c r="F19" s="8" t="s">
        <v>205</v>
      </c>
      <c r="G19" s="10" t="s">
        <v>206</v>
      </c>
      <c r="H19" s="8" t="s">
        <v>207</v>
      </c>
      <c r="I19" s="8" t="s">
        <v>158</v>
      </c>
      <c r="J19" s="8" t="s">
        <v>159</v>
      </c>
      <c r="K19" s="8" t="s">
        <v>160</v>
      </c>
      <c r="L19" s="8"/>
      <c r="M19" s="8" t="s">
        <v>86</v>
      </c>
      <c r="N19" s="8"/>
      <c r="O19" s="8" t="s">
        <v>151</v>
      </c>
      <c r="P19" s="8" t="s">
        <v>151</v>
      </c>
      <c r="Q19" s="8" t="s">
        <v>160</v>
      </c>
      <c r="R19" s="8" t="s">
        <v>160</v>
      </c>
      <c r="S19" s="8" t="s">
        <v>160</v>
      </c>
      <c r="T19" s="8" t="s">
        <v>208</v>
      </c>
    </row>
    <row r="20" customFormat="false" ht="15" hidden="false" customHeight="false" outlineLevel="0" collapsed="false">
      <c r="A20" s="8" t="s">
        <v>209</v>
      </c>
      <c r="B20" s="8" t="s">
        <v>210</v>
      </c>
      <c r="C20" s="8" t="s">
        <v>77</v>
      </c>
      <c r="D20" s="8" t="s">
        <v>211</v>
      </c>
      <c r="E20" s="9" t="n">
        <f aca="false">IF(C20="inhibition",-1,1)</f>
        <v>1</v>
      </c>
      <c r="F20" s="8" t="s">
        <v>212</v>
      </c>
      <c r="G20" s="8"/>
      <c r="H20" s="8"/>
      <c r="I20" s="8" t="s">
        <v>158</v>
      </c>
      <c r="J20" s="8" t="s">
        <v>159</v>
      </c>
      <c r="K20" s="8" t="s">
        <v>160</v>
      </c>
      <c r="L20" s="8"/>
      <c r="M20" s="8" t="s">
        <v>213</v>
      </c>
      <c r="N20" s="8"/>
      <c r="O20" s="8" t="s">
        <v>87</v>
      </c>
      <c r="P20" s="8" t="s">
        <v>214</v>
      </c>
      <c r="Q20" s="8" t="s">
        <v>215</v>
      </c>
      <c r="R20" s="8" t="s">
        <v>160</v>
      </c>
      <c r="S20" s="8" t="s">
        <v>160</v>
      </c>
      <c r="T20" s="8" t="s">
        <v>216</v>
      </c>
    </row>
    <row r="21" customFormat="false" ht="15" hidden="false" customHeight="false" outlineLevel="0" collapsed="false">
      <c r="A21" s="8" t="s">
        <v>217</v>
      </c>
      <c r="B21" s="8" t="s">
        <v>218</v>
      </c>
      <c r="C21" s="8" t="s">
        <v>77</v>
      </c>
      <c r="D21" s="8" t="s">
        <v>219</v>
      </c>
      <c r="E21" s="9" t="n">
        <f aca="false">IF(C21="inhibition",-1,1)</f>
        <v>1</v>
      </c>
      <c r="F21" s="8" t="s">
        <v>220</v>
      </c>
      <c r="G21" s="10" t="s">
        <v>221</v>
      </c>
      <c r="H21" s="8" t="s">
        <v>222</v>
      </c>
      <c r="I21" s="8" t="s">
        <v>138</v>
      </c>
      <c r="J21" s="8" t="s">
        <v>106</v>
      </c>
      <c r="K21" s="8" t="s">
        <v>160</v>
      </c>
      <c r="L21" s="8"/>
      <c r="M21" s="8" t="s">
        <v>86</v>
      </c>
      <c r="N21" s="8"/>
      <c r="O21" s="8" t="s">
        <v>124</v>
      </c>
      <c r="P21" s="8" t="s">
        <v>87</v>
      </c>
      <c r="Q21" s="8" t="s">
        <v>190</v>
      </c>
      <c r="R21" s="8" t="s">
        <v>107</v>
      </c>
      <c r="S21" s="8" t="s">
        <v>160</v>
      </c>
      <c r="T21" s="8" t="s">
        <v>223</v>
      </c>
    </row>
    <row r="22" customFormat="false" ht="15" hidden="false" customHeight="false" outlineLevel="0" collapsed="false">
      <c r="A22" s="8" t="s">
        <v>224</v>
      </c>
      <c r="B22" s="8" t="s">
        <v>120</v>
      </c>
      <c r="C22" s="8" t="s">
        <v>77</v>
      </c>
      <c r="D22" s="8" t="s">
        <v>219</v>
      </c>
      <c r="E22" s="9" t="n">
        <f aca="false">IF(C22="inhibition",-1,1)</f>
        <v>1</v>
      </c>
      <c r="F22" s="8" t="s">
        <v>121</v>
      </c>
      <c r="G22" s="10" t="s">
        <v>122</v>
      </c>
      <c r="H22" s="8" t="s">
        <v>123</v>
      </c>
      <c r="I22" s="8" t="s">
        <v>82</v>
      </c>
      <c r="J22" s="8" t="s">
        <v>83</v>
      </c>
      <c r="K22" s="8" t="s">
        <v>84</v>
      </c>
      <c r="L22" s="8"/>
      <c r="M22" s="8" t="s">
        <v>86</v>
      </c>
      <c r="N22" s="8"/>
      <c r="O22" s="8" t="s">
        <v>124</v>
      </c>
      <c r="P22" s="8" t="s">
        <v>87</v>
      </c>
      <c r="Q22" s="8" t="s">
        <v>97</v>
      </c>
      <c r="R22" s="8" t="s">
        <v>117</v>
      </c>
      <c r="S22" s="8" t="s">
        <v>125</v>
      </c>
      <c r="T22" s="8" t="s">
        <v>126</v>
      </c>
    </row>
    <row r="23" customFormat="false" ht="15" hidden="false" customHeight="false" outlineLevel="0" collapsed="false">
      <c r="A23" s="8" t="s">
        <v>225</v>
      </c>
      <c r="B23" s="8" t="s">
        <v>134</v>
      </c>
      <c r="C23" s="8" t="s">
        <v>77</v>
      </c>
      <c r="D23" s="8" t="s">
        <v>219</v>
      </c>
      <c r="E23" s="9" t="n">
        <f aca="false">IF(C23="inhibition",-1,1)</f>
        <v>1</v>
      </c>
      <c r="F23" s="8" t="s">
        <v>121</v>
      </c>
      <c r="G23" s="10" t="s">
        <v>122</v>
      </c>
      <c r="H23" s="8" t="s">
        <v>123</v>
      </c>
      <c r="I23" s="8" t="s">
        <v>82</v>
      </c>
      <c r="J23" s="8" t="s">
        <v>83</v>
      </c>
      <c r="K23" s="8" t="s">
        <v>84</v>
      </c>
      <c r="L23" s="8"/>
      <c r="M23" s="8" t="s">
        <v>86</v>
      </c>
      <c r="N23" s="8"/>
      <c r="O23" s="8" t="s">
        <v>124</v>
      </c>
      <c r="P23" s="8" t="s">
        <v>87</v>
      </c>
      <c r="Q23" s="8" t="s">
        <v>97</v>
      </c>
      <c r="R23" s="8" t="s">
        <v>117</v>
      </c>
      <c r="S23" s="8" t="s">
        <v>125</v>
      </c>
      <c r="T23" s="8" t="s">
        <v>126</v>
      </c>
    </row>
    <row r="24" customFormat="false" ht="15" hidden="false" customHeight="false" outlineLevel="0" collapsed="false">
      <c r="A24" s="8" t="s">
        <v>226</v>
      </c>
      <c r="B24" s="8" t="s">
        <v>93</v>
      </c>
      <c r="C24" s="8" t="s">
        <v>144</v>
      </c>
      <c r="D24" s="8" t="s">
        <v>219</v>
      </c>
      <c r="E24" s="9" t="n">
        <f aca="false">IF(C24="inhibition",-1,1)</f>
        <v>-1</v>
      </c>
      <c r="F24" s="8" t="s">
        <v>227</v>
      </c>
      <c r="G24" s="10" t="s">
        <v>228</v>
      </c>
      <c r="H24" s="8" t="s">
        <v>229</v>
      </c>
      <c r="I24" s="8" t="s">
        <v>138</v>
      </c>
      <c r="J24" s="8" t="s">
        <v>83</v>
      </c>
      <c r="K24" s="8" t="s">
        <v>84</v>
      </c>
      <c r="L24" s="8"/>
      <c r="M24" s="8" t="s">
        <v>86</v>
      </c>
      <c r="N24" s="8"/>
      <c r="O24" s="8" t="s">
        <v>87</v>
      </c>
      <c r="P24" s="8" t="s">
        <v>87</v>
      </c>
      <c r="Q24" s="8" t="s">
        <v>230</v>
      </c>
      <c r="R24" s="8" t="s">
        <v>83</v>
      </c>
      <c r="S24" s="8" t="s">
        <v>99</v>
      </c>
      <c r="T24" s="8" t="s">
        <v>231</v>
      </c>
    </row>
    <row r="25" customFormat="false" ht="15" hidden="false" customHeight="false" outlineLevel="0" collapsed="false">
      <c r="A25" s="8" t="s">
        <v>232</v>
      </c>
      <c r="B25" s="8" t="s">
        <v>102</v>
      </c>
      <c r="C25" s="8" t="s">
        <v>144</v>
      </c>
      <c r="D25" s="8" t="s">
        <v>219</v>
      </c>
      <c r="E25" s="9" t="n">
        <f aca="false">IF(C25="inhibition",-1,1)</f>
        <v>-1</v>
      </c>
      <c r="F25" s="8" t="s">
        <v>233</v>
      </c>
      <c r="G25" s="10" t="s">
        <v>234</v>
      </c>
      <c r="H25" s="8" t="s">
        <v>235</v>
      </c>
      <c r="I25" s="8" t="s">
        <v>138</v>
      </c>
      <c r="J25" s="8" t="s">
        <v>106</v>
      </c>
      <c r="K25" s="8" t="s">
        <v>236</v>
      </c>
      <c r="L25" s="8" t="s">
        <v>237</v>
      </c>
      <c r="M25" s="8" t="s">
        <v>86</v>
      </c>
      <c r="N25" s="8"/>
      <c r="O25" s="8" t="s">
        <v>87</v>
      </c>
      <c r="P25" s="8" t="s">
        <v>87</v>
      </c>
      <c r="Q25" s="8" t="s">
        <v>238</v>
      </c>
      <c r="R25" s="8" t="s">
        <v>239</v>
      </c>
      <c r="S25" s="8" t="s">
        <v>240</v>
      </c>
      <c r="T25" s="8" t="s">
        <v>241</v>
      </c>
    </row>
    <row r="26" customFormat="false" ht="15" hidden="false" customHeight="false" outlineLevel="0" collapsed="false">
      <c r="A26" s="8" t="s">
        <v>242</v>
      </c>
      <c r="B26" s="8" t="s">
        <v>76</v>
      </c>
      <c r="C26" s="8" t="s">
        <v>77</v>
      </c>
      <c r="D26" s="8" t="s">
        <v>243</v>
      </c>
      <c r="E26" s="9" t="n">
        <f aca="false">IF(C26="inhibition",-1,1)</f>
        <v>1</v>
      </c>
      <c r="F26" s="8" t="s">
        <v>244</v>
      </c>
      <c r="G26" s="10" t="s">
        <v>245</v>
      </c>
      <c r="H26" s="8" t="s">
        <v>246</v>
      </c>
      <c r="I26" s="8" t="s">
        <v>82</v>
      </c>
      <c r="J26" s="8" t="s">
        <v>83</v>
      </c>
      <c r="K26" s="8" t="s">
        <v>84</v>
      </c>
      <c r="L26" s="8"/>
      <c r="M26" s="8" t="s">
        <v>86</v>
      </c>
      <c r="N26" s="8"/>
      <c r="O26" s="8" t="s">
        <v>87</v>
      </c>
      <c r="P26" s="8" t="s">
        <v>183</v>
      </c>
      <c r="Q26" s="8" t="s">
        <v>97</v>
      </c>
      <c r="R26" s="8" t="s">
        <v>98</v>
      </c>
      <c r="S26" s="8" t="s">
        <v>99</v>
      </c>
      <c r="T26" s="8" t="s">
        <v>247</v>
      </c>
    </row>
    <row r="27" customFormat="false" ht="15" hidden="false" customHeight="false" outlineLevel="0" collapsed="false">
      <c r="A27" s="8" t="s">
        <v>248</v>
      </c>
      <c r="B27" s="8" t="s">
        <v>249</v>
      </c>
      <c r="C27" s="8" t="s">
        <v>77</v>
      </c>
      <c r="D27" s="8" t="s">
        <v>243</v>
      </c>
      <c r="E27" s="9" t="n">
        <f aca="false">IF(C27="inhibition",-1,1)</f>
        <v>1</v>
      </c>
      <c r="F27" s="8" t="s">
        <v>250</v>
      </c>
      <c r="G27" s="10" t="s">
        <v>251</v>
      </c>
      <c r="H27" s="8"/>
      <c r="I27" s="8" t="s">
        <v>82</v>
      </c>
      <c r="J27" s="8" t="s">
        <v>83</v>
      </c>
      <c r="K27" s="8" t="s">
        <v>84</v>
      </c>
      <c r="L27" s="8"/>
      <c r="M27" s="8" t="s">
        <v>86</v>
      </c>
      <c r="N27" s="8"/>
      <c r="O27" s="8" t="s">
        <v>87</v>
      </c>
      <c r="P27" s="8" t="s">
        <v>183</v>
      </c>
      <c r="Q27" s="8" t="s">
        <v>97</v>
      </c>
      <c r="R27" s="8" t="s">
        <v>117</v>
      </c>
      <c r="S27" s="8" t="s">
        <v>108</v>
      </c>
      <c r="T27" s="8" t="s">
        <v>252</v>
      </c>
    </row>
    <row r="28" customFormat="false" ht="15" hidden="false" customHeight="false" outlineLevel="0" collapsed="false">
      <c r="A28" s="8" t="s">
        <v>253</v>
      </c>
      <c r="B28" s="8" t="s">
        <v>194</v>
      </c>
      <c r="C28" s="8" t="s">
        <v>144</v>
      </c>
      <c r="D28" s="8" t="s">
        <v>243</v>
      </c>
      <c r="E28" s="9" t="n">
        <f aca="false">IF(C28="inhibition",-1,1)</f>
        <v>-1</v>
      </c>
      <c r="F28" s="8" t="s">
        <v>254</v>
      </c>
      <c r="G28" s="10" t="s">
        <v>255</v>
      </c>
      <c r="H28" s="8" t="s">
        <v>256</v>
      </c>
      <c r="I28" s="8" t="s">
        <v>158</v>
      </c>
      <c r="J28" s="8" t="s">
        <v>159</v>
      </c>
      <c r="K28" s="8" t="s">
        <v>160</v>
      </c>
      <c r="L28" s="8"/>
      <c r="M28" s="8" t="s">
        <v>86</v>
      </c>
      <c r="N28" s="8"/>
      <c r="O28" s="8" t="s">
        <v>199</v>
      </c>
      <c r="P28" s="8" t="s">
        <v>183</v>
      </c>
      <c r="Q28" s="8" t="s">
        <v>215</v>
      </c>
      <c r="R28" s="8" t="s">
        <v>160</v>
      </c>
      <c r="S28" s="8" t="s">
        <v>160</v>
      </c>
      <c r="T28" s="8" t="s">
        <v>257</v>
      </c>
    </row>
    <row r="29" customFormat="false" ht="15" hidden="false" customHeight="false" outlineLevel="0" collapsed="false">
      <c r="A29" s="8" t="s">
        <v>258</v>
      </c>
      <c r="B29" s="8" t="s">
        <v>76</v>
      </c>
      <c r="C29" s="8" t="s">
        <v>77</v>
      </c>
      <c r="D29" s="8" t="s">
        <v>259</v>
      </c>
      <c r="E29" s="9" t="n">
        <f aca="false">IF(C29="inhibition",-1,1)</f>
        <v>1</v>
      </c>
      <c r="F29" s="8" t="s">
        <v>244</v>
      </c>
      <c r="G29" s="10" t="s">
        <v>245</v>
      </c>
      <c r="H29" s="8" t="s">
        <v>246</v>
      </c>
      <c r="I29" s="8" t="s">
        <v>82</v>
      </c>
      <c r="J29" s="8" t="s">
        <v>83</v>
      </c>
      <c r="K29" s="8" t="s">
        <v>84</v>
      </c>
      <c r="L29" s="8"/>
      <c r="M29" s="8" t="s">
        <v>86</v>
      </c>
      <c r="N29" s="8"/>
      <c r="O29" s="8" t="s">
        <v>87</v>
      </c>
      <c r="P29" s="8" t="s">
        <v>183</v>
      </c>
      <c r="Q29" s="8" t="s">
        <v>97</v>
      </c>
      <c r="R29" s="8" t="s">
        <v>98</v>
      </c>
      <c r="S29" s="8" t="s">
        <v>99</v>
      </c>
      <c r="T29" s="8" t="s">
        <v>247</v>
      </c>
    </row>
    <row r="30" customFormat="false" ht="15" hidden="false" customHeight="false" outlineLevel="0" collapsed="false">
      <c r="A30" s="8" t="s">
        <v>260</v>
      </c>
      <c r="B30" s="8" t="s">
        <v>249</v>
      </c>
      <c r="C30" s="8" t="s">
        <v>77</v>
      </c>
      <c r="D30" s="8" t="s">
        <v>259</v>
      </c>
      <c r="E30" s="9" t="n">
        <f aca="false">IF(C30="inhibition",-1,1)</f>
        <v>1</v>
      </c>
      <c r="F30" s="8" t="s">
        <v>250</v>
      </c>
      <c r="G30" s="10" t="s">
        <v>251</v>
      </c>
      <c r="H30" s="8"/>
      <c r="I30" s="8" t="s">
        <v>82</v>
      </c>
      <c r="J30" s="8" t="s">
        <v>83</v>
      </c>
      <c r="K30" s="8" t="s">
        <v>84</v>
      </c>
      <c r="L30" s="8"/>
      <c r="M30" s="8" t="s">
        <v>86</v>
      </c>
      <c r="N30" s="8"/>
      <c r="O30" s="8" t="s">
        <v>87</v>
      </c>
      <c r="P30" s="8" t="s">
        <v>183</v>
      </c>
      <c r="Q30" s="8" t="s">
        <v>97</v>
      </c>
      <c r="R30" s="8" t="s">
        <v>117</v>
      </c>
      <c r="S30" s="8" t="s">
        <v>108</v>
      </c>
      <c r="T30" s="8" t="s">
        <v>252</v>
      </c>
    </row>
    <row r="31" customFormat="false" ht="15" hidden="false" customHeight="false" outlineLevel="0" collapsed="false">
      <c r="A31" s="8" t="s">
        <v>261</v>
      </c>
      <c r="B31" s="8" t="s">
        <v>194</v>
      </c>
      <c r="C31" s="8" t="s">
        <v>144</v>
      </c>
      <c r="D31" s="8" t="s">
        <v>259</v>
      </c>
      <c r="E31" s="9" t="n">
        <f aca="false">IF(C31="inhibition",-1,1)</f>
        <v>-1</v>
      </c>
      <c r="F31" s="8" t="s">
        <v>262</v>
      </c>
      <c r="G31" s="10" t="s">
        <v>263</v>
      </c>
      <c r="H31" s="8" t="s">
        <v>264</v>
      </c>
      <c r="I31" s="8" t="s">
        <v>158</v>
      </c>
      <c r="J31" s="8" t="s">
        <v>159</v>
      </c>
      <c r="K31" s="8" t="s">
        <v>160</v>
      </c>
      <c r="L31" s="8"/>
      <c r="M31" s="8" t="s">
        <v>86</v>
      </c>
      <c r="N31" s="8"/>
      <c r="O31" s="8" t="s">
        <v>199</v>
      </c>
      <c r="P31" s="8" t="s">
        <v>183</v>
      </c>
      <c r="Q31" s="8" t="s">
        <v>215</v>
      </c>
      <c r="R31" s="8" t="s">
        <v>160</v>
      </c>
      <c r="S31" s="8" t="s">
        <v>160</v>
      </c>
      <c r="T31" s="8" t="s">
        <v>265</v>
      </c>
    </row>
    <row r="32" customFormat="false" ht="15" hidden="false" customHeight="false" outlineLevel="0" collapsed="false">
      <c r="A32" s="8" t="s">
        <v>266</v>
      </c>
      <c r="B32" s="8" t="s">
        <v>120</v>
      </c>
      <c r="C32" s="8" t="s">
        <v>77</v>
      </c>
      <c r="D32" s="8" t="s">
        <v>267</v>
      </c>
      <c r="E32" s="9" t="n">
        <f aca="false">IF(C32="inhibition",-1,1)</f>
        <v>1</v>
      </c>
      <c r="F32" s="8" t="s">
        <v>268</v>
      </c>
      <c r="G32" s="10" t="s">
        <v>269</v>
      </c>
      <c r="H32" s="8" t="s">
        <v>270</v>
      </c>
      <c r="I32" s="8" t="s">
        <v>82</v>
      </c>
      <c r="J32" s="8" t="s">
        <v>83</v>
      </c>
      <c r="K32" s="8" t="s">
        <v>84</v>
      </c>
      <c r="L32" s="8"/>
      <c r="M32" s="8" t="s">
        <v>86</v>
      </c>
      <c r="N32" s="8"/>
      <c r="O32" s="8" t="s">
        <v>124</v>
      </c>
      <c r="P32" s="8" t="s">
        <v>214</v>
      </c>
      <c r="Q32" s="8" t="s">
        <v>97</v>
      </c>
      <c r="R32" s="8" t="s">
        <v>117</v>
      </c>
      <c r="S32" s="8" t="s">
        <v>125</v>
      </c>
      <c r="T32" s="8" t="s">
        <v>271</v>
      </c>
    </row>
    <row r="33" customFormat="false" ht="15" hidden="false" customHeight="false" outlineLevel="0" collapsed="false">
      <c r="A33" s="8" t="s">
        <v>272</v>
      </c>
      <c r="B33" s="8" t="s">
        <v>170</v>
      </c>
      <c r="C33" s="8" t="s">
        <v>144</v>
      </c>
      <c r="D33" s="8" t="s">
        <v>267</v>
      </c>
      <c r="E33" s="9" t="n">
        <f aca="false">IF(C33="inhibition",-1,1)</f>
        <v>-1</v>
      </c>
      <c r="F33" s="8" t="s">
        <v>273</v>
      </c>
      <c r="G33" s="10" t="s">
        <v>274</v>
      </c>
      <c r="H33" s="8" t="s">
        <v>275</v>
      </c>
      <c r="I33" s="8" t="s">
        <v>138</v>
      </c>
      <c r="J33" s="8" t="s">
        <v>106</v>
      </c>
      <c r="K33" s="8" t="s">
        <v>276</v>
      </c>
      <c r="L33" s="8"/>
      <c r="M33" s="8" t="s">
        <v>86</v>
      </c>
      <c r="N33" s="8"/>
      <c r="O33" s="8" t="s">
        <v>151</v>
      </c>
      <c r="P33" s="8" t="s">
        <v>214</v>
      </c>
      <c r="Q33" s="8" t="s">
        <v>277</v>
      </c>
      <c r="R33" s="8" t="s">
        <v>278</v>
      </c>
      <c r="S33" s="8" t="s">
        <v>276</v>
      </c>
      <c r="T33" s="8" t="s">
        <v>279</v>
      </c>
    </row>
    <row r="34" customFormat="false" ht="15" hidden="false" customHeight="false" outlineLevel="0" collapsed="false">
      <c r="A34" s="8" t="s">
        <v>280</v>
      </c>
      <c r="B34" s="8" t="s">
        <v>194</v>
      </c>
      <c r="C34" s="8" t="s">
        <v>77</v>
      </c>
      <c r="D34" s="8" t="s">
        <v>281</v>
      </c>
      <c r="E34" s="9" t="n">
        <f aca="false">IF(C34="inhibition",-1,1)</f>
        <v>1</v>
      </c>
      <c r="F34" s="8" t="s">
        <v>282</v>
      </c>
      <c r="G34" s="10" t="s">
        <v>283</v>
      </c>
      <c r="H34" s="8" t="s">
        <v>284</v>
      </c>
      <c r="I34" s="8" t="s">
        <v>138</v>
      </c>
      <c r="J34" s="8" t="s">
        <v>106</v>
      </c>
      <c r="K34" s="8" t="s">
        <v>84</v>
      </c>
      <c r="L34" s="8"/>
      <c r="M34" s="8" t="s">
        <v>86</v>
      </c>
      <c r="N34" s="8"/>
      <c r="O34" s="8" t="s">
        <v>199</v>
      </c>
      <c r="P34" s="8" t="s">
        <v>285</v>
      </c>
      <c r="Q34" s="8" t="s">
        <v>230</v>
      </c>
      <c r="R34" s="8" t="s">
        <v>107</v>
      </c>
      <c r="S34" s="8" t="s">
        <v>99</v>
      </c>
      <c r="T34" s="8" t="s">
        <v>286</v>
      </c>
    </row>
    <row r="35" customFormat="false" ht="15" hidden="false" customHeight="false" outlineLevel="0" collapsed="false">
      <c r="A35" s="8" t="s">
        <v>287</v>
      </c>
      <c r="B35" s="8" t="s">
        <v>288</v>
      </c>
      <c r="C35" s="8" t="s">
        <v>144</v>
      </c>
      <c r="D35" s="8" t="s">
        <v>281</v>
      </c>
      <c r="E35" s="9" t="n">
        <f aca="false">IF(C35="inhibition",-1,1)</f>
        <v>-1</v>
      </c>
      <c r="F35" s="8" t="s">
        <v>289</v>
      </c>
      <c r="G35" s="10" t="s">
        <v>290</v>
      </c>
      <c r="H35" s="8" t="s">
        <v>291</v>
      </c>
      <c r="I35" s="8" t="s">
        <v>158</v>
      </c>
      <c r="J35" s="8" t="s">
        <v>159</v>
      </c>
      <c r="K35" s="8" t="s">
        <v>160</v>
      </c>
      <c r="L35" s="8"/>
      <c r="M35" s="8" t="s">
        <v>86</v>
      </c>
      <c r="N35" s="8"/>
      <c r="O35" s="8" t="s">
        <v>285</v>
      </c>
      <c r="P35" s="8" t="s">
        <v>285</v>
      </c>
      <c r="Q35" s="8" t="s">
        <v>215</v>
      </c>
      <c r="R35" s="8" t="s">
        <v>160</v>
      </c>
      <c r="S35" s="8" t="s">
        <v>160</v>
      </c>
      <c r="T35" s="8" t="s">
        <v>292</v>
      </c>
    </row>
    <row r="36" customFormat="false" ht="15" hidden="false" customHeight="false" outlineLevel="0" collapsed="false">
      <c r="A36" s="8" t="s">
        <v>293</v>
      </c>
      <c r="B36" s="8" t="s">
        <v>147</v>
      </c>
      <c r="C36" s="8" t="s">
        <v>77</v>
      </c>
      <c r="D36" s="8" t="s">
        <v>288</v>
      </c>
      <c r="E36" s="9" t="n">
        <f aca="false">IF(C36="inhibition",-1,1)</f>
        <v>1</v>
      </c>
      <c r="F36" s="8" t="s">
        <v>273</v>
      </c>
      <c r="G36" s="10" t="s">
        <v>274</v>
      </c>
      <c r="H36" s="8" t="s">
        <v>275</v>
      </c>
      <c r="I36" s="8" t="s">
        <v>138</v>
      </c>
      <c r="J36" s="8" t="s">
        <v>106</v>
      </c>
      <c r="K36" s="8" t="s">
        <v>276</v>
      </c>
      <c r="L36" s="8"/>
      <c r="M36" s="8" t="s">
        <v>86</v>
      </c>
      <c r="N36" s="8"/>
      <c r="O36" s="8" t="s">
        <v>151</v>
      </c>
      <c r="P36" s="8" t="s">
        <v>285</v>
      </c>
      <c r="Q36" s="8" t="s">
        <v>277</v>
      </c>
      <c r="R36" s="8" t="s">
        <v>278</v>
      </c>
      <c r="S36" s="8" t="s">
        <v>276</v>
      </c>
      <c r="T36" s="8" t="s">
        <v>279</v>
      </c>
    </row>
    <row r="37" customFormat="false" ht="15" hidden="false" customHeight="false" outlineLevel="0" collapsed="false">
      <c r="A37" s="8" t="s">
        <v>294</v>
      </c>
      <c r="B37" s="8" t="s">
        <v>170</v>
      </c>
      <c r="C37" s="8" t="s">
        <v>77</v>
      </c>
      <c r="D37" s="8" t="s">
        <v>288</v>
      </c>
      <c r="E37" s="9" t="n">
        <f aca="false">IF(C37="inhibition",-1,1)</f>
        <v>1</v>
      </c>
      <c r="F37" s="8" t="s">
        <v>273</v>
      </c>
      <c r="G37" s="10" t="s">
        <v>274</v>
      </c>
      <c r="H37" s="8" t="s">
        <v>275</v>
      </c>
      <c r="I37" s="8" t="s">
        <v>138</v>
      </c>
      <c r="J37" s="8" t="s">
        <v>106</v>
      </c>
      <c r="K37" s="8" t="s">
        <v>276</v>
      </c>
      <c r="L37" s="8"/>
      <c r="M37" s="8" t="s">
        <v>86</v>
      </c>
      <c r="N37" s="8"/>
      <c r="O37" s="8" t="s">
        <v>151</v>
      </c>
      <c r="P37" s="8" t="s">
        <v>285</v>
      </c>
      <c r="Q37" s="8" t="s">
        <v>277</v>
      </c>
      <c r="R37" s="8" t="s">
        <v>278</v>
      </c>
      <c r="S37" s="8" t="s">
        <v>276</v>
      </c>
      <c r="T37" s="8" t="s">
        <v>279</v>
      </c>
    </row>
    <row r="38" customFormat="false" ht="15" hidden="false" customHeight="false" outlineLevel="0" collapsed="false">
      <c r="A38" s="8" t="s">
        <v>295</v>
      </c>
      <c r="B38" s="8" t="s">
        <v>210</v>
      </c>
      <c r="C38" s="8" t="s">
        <v>77</v>
      </c>
      <c r="D38" s="8" t="s">
        <v>288</v>
      </c>
      <c r="E38" s="9" t="n">
        <f aca="false">IF(C38="inhibition",-1,1)</f>
        <v>1</v>
      </c>
      <c r="F38" s="8" t="s">
        <v>296</v>
      </c>
      <c r="G38" s="10" t="s">
        <v>297</v>
      </c>
      <c r="H38" s="8" t="s">
        <v>298</v>
      </c>
      <c r="I38" s="8" t="s">
        <v>138</v>
      </c>
      <c r="J38" s="8" t="s">
        <v>106</v>
      </c>
      <c r="K38" s="8" t="s">
        <v>276</v>
      </c>
      <c r="L38" s="8"/>
      <c r="M38" s="8" t="s">
        <v>86</v>
      </c>
      <c r="N38" s="8"/>
      <c r="O38" s="8" t="s">
        <v>87</v>
      </c>
      <c r="P38" s="8" t="s">
        <v>285</v>
      </c>
      <c r="Q38" s="8" t="s">
        <v>299</v>
      </c>
      <c r="R38" s="8" t="s">
        <v>278</v>
      </c>
      <c r="S38" s="8" t="s">
        <v>300</v>
      </c>
      <c r="T38" s="8" t="s">
        <v>301</v>
      </c>
    </row>
    <row r="39" customFormat="false" ht="15" hidden="false" customHeight="false" outlineLevel="0" collapsed="false">
      <c r="A39" s="8" t="s">
        <v>302</v>
      </c>
      <c r="B39" s="8" t="s">
        <v>93</v>
      </c>
      <c r="C39" s="8" t="s">
        <v>77</v>
      </c>
      <c r="D39" s="8" t="s">
        <v>288</v>
      </c>
      <c r="E39" s="9" t="n">
        <f aca="false">IF(C39="inhibition",-1,1)</f>
        <v>1</v>
      </c>
      <c r="F39" s="8" t="s">
        <v>94</v>
      </c>
      <c r="G39" s="10" t="s">
        <v>95</v>
      </c>
      <c r="H39" s="8" t="s">
        <v>96</v>
      </c>
      <c r="I39" s="8" t="s">
        <v>82</v>
      </c>
      <c r="J39" s="8" t="s">
        <v>83</v>
      </c>
      <c r="K39" s="8" t="s">
        <v>84</v>
      </c>
      <c r="L39" s="8"/>
      <c r="M39" s="8" t="s">
        <v>86</v>
      </c>
      <c r="N39" s="8"/>
      <c r="O39" s="8" t="s">
        <v>87</v>
      </c>
      <c r="P39" s="8" t="s">
        <v>285</v>
      </c>
      <c r="Q39" s="8" t="s">
        <v>97</v>
      </c>
      <c r="R39" s="8" t="s">
        <v>98</v>
      </c>
      <c r="S39" s="8" t="s">
        <v>99</v>
      </c>
      <c r="T39" s="8" t="s">
        <v>100</v>
      </c>
    </row>
    <row r="40" customFormat="false" ht="15" hidden="false" customHeight="false" outlineLevel="0" collapsed="false">
      <c r="A40" s="8" t="s">
        <v>303</v>
      </c>
      <c r="B40" s="8" t="s">
        <v>267</v>
      </c>
      <c r="C40" s="8" t="s">
        <v>144</v>
      </c>
      <c r="D40" s="8" t="s">
        <v>288</v>
      </c>
      <c r="E40" s="9" t="n">
        <f aca="false">IF(C40="inhibition",-1,1)</f>
        <v>-1</v>
      </c>
      <c r="F40" s="8" t="s">
        <v>304</v>
      </c>
      <c r="G40" s="10" t="s">
        <v>305</v>
      </c>
      <c r="H40" s="8"/>
      <c r="I40" s="8" t="s">
        <v>158</v>
      </c>
      <c r="J40" s="8" t="s">
        <v>159</v>
      </c>
      <c r="K40" s="8" t="s">
        <v>160</v>
      </c>
      <c r="L40" s="8"/>
      <c r="M40" s="8" t="s">
        <v>86</v>
      </c>
      <c r="N40" s="8"/>
      <c r="O40" s="8" t="s">
        <v>214</v>
      </c>
      <c r="P40" s="8" t="s">
        <v>285</v>
      </c>
      <c r="Q40" s="8" t="s">
        <v>215</v>
      </c>
      <c r="R40" s="8" t="s">
        <v>160</v>
      </c>
      <c r="S40" s="8" t="s">
        <v>160</v>
      </c>
      <c r="T40" s="8" t="s">
        <v>306</v>
      </c>
    </row>
    <row r="41" customFormat="false" ht="15" hidden="false" customHeight="false" outlineLevel="0" collapsed="false">
      <c r="A41" s="8" t="s">
        <v>307</v>
      </c>
      <c r="B41" s="8" t="s">
        <v>120</v>
      </c>
      <c r="C41" s="8" t="s">
        <v>144</v>
      </c>
      <c r="D41" s="8" t="s">
        <v>288</v>
      </c>
      <c r="E41" s="9" t="n">
        <f aca="false">IF(C41="inhibition",-1,1)</f>
        <v>-1</v>
      </c>
      <c r="F41" s="8" t="s">
        <v>268</v>
      </c>
      <c r="G41" s="10" t="s">
        <v>269</v>
      </c>
      <c r="H41" s="8" t="s">
        <v>270</v>
      </c>
      <c r="I41" s="8" t="s">
        <v>82</v>
      </c>
      <c r="J41" s="8" t="s">
        <v>83</v>
      </c>
      <c r="K41" s="8" t="s">
        <v>84</v>
      </c>
      <c r="L41" s="8"/>
      <c r="M41" s="8" t="s">
        <v>86</v>
      </c>
      <c r="N41" s="8"/>
      <c r="O41" s="8" t="s">
        <v>124</v>
      </c>
      <c r="P41" s="8" t="s">
        <v>285</v>
      </c>
      <c r="Q41" s="8" t="s">
        <v>97</v>
      </c>
      <c r="R41" s="8" t="s">
        <v>117</v>
      </c>
      <c r="S41" s="8" t="s">
        <v>125</v>
      </c>
      <c r="T41" s="8" t="s">
        <v>271</v>
      </c>
    </row>
    <row r="42" customFormat="false" ht="15" hidden="false" customHeight="false" outlineLevel="0" collapsed="false">
      <c r="A42" s="8" t="s">
        <v>308</v>
      </c>
      <c r="B42" s="8" t="s">
        <v>219</v>
      </c>
      <c r="C42" s="8" t="s">
        <v>77</v>
      </c>
      <c r="D42" s="8" t="s">
        <v>309</v>
      </c>
      <c r="E42" s="9" t="n">
        <f aca="false">IF(C42="inhibition",-1,1)</f>
        <v>1</v>
      </c>
      <c r="F42" s="8" t="s">
        <v>310</v>
      </c>
      <c r="G42" s="8"/>
      <c r="H42" s="8"/>
      <c r="I42" s="8" t="s">
        <v>158</v>
      </c>
      <c r="J42" s="8" t="s">
        <v>106</v>
      </c>
      <c r="K42" s="8" t="s">
        <v>84</v>
      </c>
      <c r="L42" s="8"/>
      <c r="M42" s="8" t="s">
        <v>213</v>
      </c>
      <c r="N42" s="8"/>
      <c r="O42" s="8" t="s">
        <v>87</v>
      </c>
      <c r="P42" s="8" t="s">
        <v>311</v>
      </c>
      <c r="Q42" s="8" t="s">
        <v>312</v>
      </c>
      <c r="R42" s="8" t="s">
        <v>313</v>
      </c>
      <c r="S42" s="8" t="s">
        <v>99</v>
      </c>
      <c r="T42" s="8" t="s">
        <v>314</v>
      </c>
    </row>
    <row r="43" customFormat="false" ht="15" hidden="false" customHeight="false" outlineLevel="0" collapsed="false">
      <c r="A43" s="8" t="s">
        <v>315</v>
      </c>
      <c r="B43" s="8" t="s">
        <v>128</v>
      </c>
      <c r="C43" s="8" t="s">
        <v>77</v>
      </c>
      <c r="D43" s="8" t="s">
        <v>309</v>
      </c>
      <c r="E43" s="9" t="n">
        <f aca="false">IF(C43="inhibition",-1,1)</f>
        <v>1</v>
      </c>
      <c r="F43" s="8" t="s">
        <v>316</v>
      </c>
      <c r="G43" s="10" t="s">
        <v>317</v>
      </c>
      <c r="H43" s="8" t="s">
        <v>318</v>
      </c>
      <c r="I43" s="8" t="s">
        <v>138</v>
      </c>
      <c r="J43" s="8" t="s">
        <v>83</v>
      </c>
      <c r="K43" s="8" t="s">
        <v>236</v>
      </c>
      <c r="L43" s="8"/>
      <c r="M43" s="8" t="s">
        <v>86</v>
      </c>
      <c r="N43" s="8"/>
      <c r="O43" s="8" t="s">
        <v>87</v>
      </c>
      <c r="P43" s="8" t="s">
        <v>311</v>
      </c>
      <c r="Q43" s="8" t="s">
        <v>190</v>
      </c>
      <c r="R43" s="8" t="s">
        <v>117</v>
      </c>
      <c r="S43" s="8" t="s">
        <v>319</v>
      </c>
      <c r="T43" s="8" t="s">
        <v>320</v>
      </c>
    </row>
    <row r="44" customFormat="false" ht="15" hidden="false" customHeight="false" outlineLevel="0" collapsed="false">
      <c r="A44" s="8" t="s">
        <v>321</v>
      </c>
      <c r="B44" s="8" t="s">
        <v>322</v>
      </c>
      <c r="C44" s="8" t="s">
        <v>77</v>
      </c>
      <c r="D44" s="8" t="s">
        <v>309</v>
      </c>
      <c r="E44" s="9" t="n">
        <f aca="false">IF(C44="inhibition",-1,1)</f>
        <v>1</v>
      </c>
      <c r="F44" s="8" t="s">
        <v>323</v>
      </c>
      <c r="G44" s="10" t="s">
        <v>324</v>
      </c>
      <c r="H44" s="8" t="s">
        <v>325</v>
      </c>
      <c r="I44" s="8" t="s">
        <v>158</v>
      </c>
      <c r="J44" s="8" t="s">
        <v>159</v>
      </c>
      <c r="K44" s="8" t="s">
        <v>160</v>
      </c>
      <c r="L44" s="8"/>
      <c r="M44" s="8" t="s">
        <v>86</v>
      </c>
      <c r="N44" s="8"/>
      <c r="O44" s="8" t="s">
        <v>87</v>
      </c>
      <c r="P44" s="8" t="s">
        <v>311</v>
      </c>
      <c r="Q44" s="8" t="s">
        <v>326</v>
      </c>
      <c r="R44" s="8" t="s">
        <v>160</v>
      </c>
      <c r="S44" s="8" t="s">
        <v>160</v>
      </c>
      <c r="T44" s="8" t="s">
        <v>327</v>
      </c>
    </row>
    <row r="45" customFormat="false" ht="15" hidden="false" customHeight="false" outlineLevel="0" collapsed="false">
      <c r="A45" s="8" t="s">
        <v>328</v>
      </c>
      <c r="B45" s="8" t="s">
        <v>76</v>
      </c>
      <c r="C45" s="8" t="s">
        <v>77</v>
      </c>
      <c r="D45" s="8" t="s">
        <v>329</v>
      </c>
      <c r="E45" s="9" t="n">
        <f aca="false">IF(C45="inhibition",-1,1)</f>
        <v>1</v>
      </c>
      <c r="F45" s="8" t="s">
        <v>330</v>
      </c>
      <c r="G45" s="10" t="s">
        <v>331</v>
      </c>
      <c r="H45" s="8" t="s">
        <v>332</v>
      </c>
      <c r="I45" s="8" t="s">
        <v>82</v>
      </c>
      <c r="J45" s="8" t="s">
        <v>106</v>
      </c>
      <c r="K45" s="8" t="s">
        <v>84</v>
      </c>
      <c r="L45" s="8"/>
      <c r="M45" s="8" t="s">
        <v>86</v>
      </c>
      <c r="N45" s="8"/>
      <c r="O45" s="8" t="s">
        <v>87</v>
      </c>
      <c r="P45" s="8" t="s">
        <v>285</v>
      </c>
      <c r="Q45" s="8" t="s">
        <v>97</v>
      </c>
      <c r="R45" s="8" t="s">
        <v>107</v>
      </c>
      <c r="S45" s="8" t="s">
        <v>99</v>
      </c>
      <c r="T45" s="8" t="s">
        <v>333</v>
      </c>
    </row>
    <row r="46" customFormat="false" ht="15" hidden="false" customHeight="false" outlineLevel="0" collapsed="false">
      <c r="A46" s="8" t="s">
        <v>334</v>
      </c>
      <c r="B46" s="8" t="s">
        <v>335</v>
      </c>
      <c r="C46" s="8" t="s">
        <v>144</v>
      </c>
      <c r="D46" s="8" t="s">
        <v>329</v>
      </c>
      <c r="E46" s="9" t="n">
        <f aca="false">IF(C46="inhibition",-1,1)</f>
        <v>-1</v>
      </c>
      <c r="F46" s="8" t="s">
        <v>336</v>
      </c>
      <c r="G46" s="10" t="s">
        <v>337</v>
      </c>
      <c r="H46" s="8" t="s">
        <v>338</v>
      </c>
      <c r="I46" s="8" t="s">
        <v>158</v>
      </c>
      <c r="J46" s="8" t="s">
        <v>159</v>
      </c>
      <c r="K46" s="8" t="s">
        <v>160</v>
      </c>
      <c r="L46" s="8"/>
      <c r="M46" s="8" t="s">
        <v>86</v>
      </c>
      <c r="N46" s="8"/>
      <c r="O46" s="8" t="s">
        <v>87</v>
      </c>
      <c r="P46" s="8" t="s">
        <v>285</v>
      </c>
      <c r="Q46" s="8" t="s">
        <v>160</v>
      </c>
      <c r="R46" s="8" t="s">
        <v>160</v>
      </c>
      <c r="S46" s="8" t="s">
        <v>160</v>
      </c>
      <c r="T46" s="8" t="s">
        <v>339</v>
      </c>
    </row>
    <row r="47" customFormat="false" ht="15" hidden="false" customHeight="false" outlineLevel="0" collapsed="false">
      <c r="A47" s="8" t="s">
        <v>340</v>
      </c>
      <c r="B47" s="8" t="s">
        <v>341</v>
      </c>
      <c r="C47" s="8" t="s">
        <v>77</v>
      </c>
      <c r="D47" s="8" t="s">
        <v>177</v>
      </c>
      <c r="E47" s="9" t="n">
        <f aca="false">IF(C47="inhibition",-1,1)</f>
        <v>1</v>
      </c>
      <c r="F47" s="8" t="s">
        <v>342</v>
      </c>
      <c r="G47" s="10" t="s">
        <v>343</v>
      </c>
      <c r="H47" s="8" t="s">
        <v>344</v>
      </c>
      <c r="I47" s="8" t="s">
        <v>82</v>
      </c>
      <c r="J47" s="8" t="s">
        <v>83</v>
      </c>
      <c r="K47" s="8" t="s">
        <v>236</v>
      </c>
      <c r="L47" s="8"/>
      <c r="M47" s="8" t="s">
        <v>86</v>
      </c>
      <c r="N47" s="8"/>
      <c r="O47" s="8" t="s">
        <v>345</v>
      </c>
      <c r="P47" s="8" t="s">
        <v>183</v>
      </c>
      <c r="Q47" s="8" t="s">
        <v>346</v>
      </c>
      <c r="R47" s="8" t="s">
        <v>347</v>
      </c>
      <c r="S47" s="8" t="s">
        <v>348</v>
      </c>
      <c r="T47" s="8" t="s">
        <v>349</v>
      </c>
    </row>
    <row r="48" customFormat="false" ht="15" hidden="false" customHeight="false" outlineLevel="0" collapsed="false">
      <c r="A48" s="8" t="s">
        <v>350</v>
      </c>
      <c r="B48" s="8" t="s">
        <v>351</v>
      </c>
      <c r="C48" s="8" t="s">
        <v>77</v>
      </c>
      <c r="D48" s="8" t="s">
        <v>352</v>
      </c>
      <c r="E48" s="9" t="n">
        <f aca="false">IF(C48="inhibition",-1,1)</f>
        <v>1</v>
      </c>
      <c r="F48" s="8" t="s">
        <v>353</v>
      </c>
      <c r="G48" s="10" t="s">
        <v>354</v>
      </c>
      <c r="H48" s="8" t="s">
        <v>355</v>
      </c>
      <c r="I48" s="8" t="s">
        <v>138</v>
      </c>
      <c r="J48" s="8" t="s">
        <v>159</v>
      </c>
      <c r="K48" s="8" t="s">
        <v>84</v>
      </c>
      <c r="L48" s="8" t="s">
        <v>356</v>
      </c>
      <c r="M48" s="8" t="s">
        <v>86</v>
      </c>
      <c r="N48" s="8"/>
      <c r="O48" s="8" t="s">
        <v>183</v>
      </c>
      <c r="P48" s="8" t="s">
        <v>183</v>
      </c>
      <c r="Q48" s="8" t="s">
        <v>140</v>
      </c>
      <c r="R48" s="8" t="s">
        <v>357</v>
      </c>
      <c r="S48" s="8" t="s">
        <v>84</v>
      </c>
      <c r="T48" s="8" t="s">
        <v>358</v>
      </c>
    </row>
    <row r="49" customFormat="false" ht="15" hidden="false" customHeight="false" outlineLevel="0" collapsed="false">
      <c r="A49" s="8" t="s">
        <v>359</v>
      </c>
      <c r="B49" s="8" t="s">
        <v>360</v>
      </c>
      <c r="C49" s="8" t="s">
        <v>77</v>
      </c>
      <c r="D49" s="8" t="s">
        <v>352</v>
      </c>
      <c r="E49" s="9" t="n">
        <f aca="false">IF(C49="inhibition",-1,1)</f>
        <v>1</v>
      </c>
      <c r="F49" s="8" t="s">
        <v>361</v>
      </c>
      <c r="G49" s="10" t="s">
        <v>362</v>
      </c>
      <c r="H49" s="8" t="s">
        <v>363</v>
      </c>
      <c r="I49" s="8" t="s">
        <v>82</v>
      </c>
      <c r="J49" s="8" t="s">
        <v>83</v>
      </c>
      <c r="K49" s="8" t="s">
        <v>84</v>
      </c>
      <c r="L49" s="8"/>
      <c r="M49" s="8" t="s">
        <v>86</v>
      </c>
      <c r="N49" s="8"/>
      <c r="O49" s="8" t="s">
        <v>345</v>
      </c>
      <c r="P49" s="8" t="s">
        <v>183</v>
      </c>
      <c r="Q49" s="8" t="s">
        <v>97</v>
      </c>
      <c r="R49" s="8" t="s">
        <v>117</v>
      </c>
      <c r="S49" s="8" t="s">
        <v>99</v>
      </c>
      <c r="T49" s="8" t="s">
        <v>364</v>
      </c>
    </row>
    <row r="50" customFormat="false" ht="15" hidden="false" customHeight="false" outlineLevel="0" collapsed="false">
      <c r="A50" s="8" t="s">
        <v>365</v>
      </c>
      <c r="B50" s="8" t="s">
        <v>177</v>
      </c>
      <c r="C50" s="8" t="s">
        <v>77</v>
      </c>
      <c r="D50" s="8" t="s">
        <v>366</v>
      </c>
      <c r="E50" s="9" t="n">
        <f aca="false">IF(C50="inhibition",-1,1)</f>
        <v>1</v>
      </c>
      <c r="F50" s="8" t="s">
        <v>367</v>
      </c>
      <c r="G50" s="10" t="s">
        <v>368</v>
      </c>
      <c r="H50" s="8"/>
      <c r="I50" s="8" t="s">
        <v>138</v>
      </c>
      <c r="J50" s="8" t="s">
        <v>83</v>
      </c>
      <c r="K50" s="8" t="s">
        <v>84</v>
      </c>
      <c r="L50" s="8"/>
      <c r="M50" s="8" t="s">
        <v>86</v>
      </c>
      <c r="N50" s="8"/>
      <c r="O50" s="8" t="s">
        <v>183</v>
      </c>
      <c r="P50" s="8" t="s">
        <v>183</v>
      </c>
      <c r="Q50" s="8" t="s">
        <v>190</v>
      </c>
      <c r="R50" s="8" t="s">
        <v>117</v>
      </c>
      <c r="S50" s="8" t="s">
        <v>99</v>
      </c>
      <c r="T50" s="8" t="s">
        <v>369</v>
      </c>
    </row>
    <row r="51" customFormat="false" ht="15" hidden="false" customHeight="false" outlineLevel="0" collapsed="false">
      <c r="A51" s="8" t="s">
        <v>370</v>
      </c>
      <c r="B51" s="8" t="s">
        <v>352</v>
      </c>
      <c r="C51" s="8" t="s">
        <v>77</v>
      </c>
      <c r="D51" s="8" t="s">
        <v>371</v>
      </c>
      <c r="E51" s="9" t="n">
        <f aca="false">IF(C51="inhibition",-1,1)</f>
        <v>1</v>
      </c>
      <c r="F51" s="8" t="s">
        <v>372</v>
      </c>
      <c r="G51" s="10" t="s">
        <v>373</v>
      </c>
      <c r="H51" s="8" t="s">
        <v>374</v>
      </c>
      <c r="I51" s="8" t="s">
        <v>82</v>
      </c>
      <c r="J51" s="8" t="s">
        <v>83</v>
      </c>
      <c r="K51" s="8" t="s">
        <v>84</v>
      </c>
      <c r="L51" s="8"/>
      <c r="M51" s="8" t="s">
        <v>86</v>
      </c>
      <c r="N51" s="8"/>
      <c r="O51" s="8" t="s">
        <v>183</v>
      </c>
      <c r="P51" s="8" t="s">
        <v>183</v>
      </c>
      <c r="Q51" s="8" t="s">
        <v>97</v>
      </c>
      <c r="R51" s="8" t="s">
        <v>98</v>
      </c>
      <c r="S51" s="8" t="s">
        <v>99</v>
      </c>
      <c r="T51" s="8" t="s">
        <v>375</v>
      </c>
    </row>
    <row r="52" customFormat="false" ht="15" hidden="false" customHeight="false" outlineLevel="0" collapsed="false">
      <c r="A52" s="8" t="s">
        <v>376</v>
      </c>
      <c r="B52" s="8" t="s">
        <v>351</v>
      </c>
      <c r="C52" s="8" t="s">
        <v>77</v>
      </c>
      <c r="D52" s="8" t="s">
        <v>371</v>
      </c>
      <c r="E52" s="9" t="n">
        <f aca="false">IF(C52="inhibition",-1,1)</f>
        <v>1</v>
      </c>
      <c r="F52" s="8" t="s">
        <v>377</v>
      </c>
      <c r="G52" s="10" t="s">
        <v>378</v>
      </c>
      <c r="H52" s="8" t="s">
        <v>379</v>
      </c>
      <c r="I52" s="8" t="s">
        <v>158</v>
      </c>
      <c r="J52" s="8" t="s">
        <v>159</v>
      </c>
      <c r="K52" s="8" t="s">
        <v>160</v>
      </c>
      <c r="L52" s="8"/>
      <c r="M52" s="8" t="s">
        <v>86</v>
      </c>
      <c r="N52" s="8"/>
      <c r="O52" s="8" t="s">
        <v>183</v>
      </c>
      <c r="P52" s="8" t="s">
        <v>183</v>
      </c>
      <c r="Q52" s="8" t="s">
        <v>160</v>
      </c>
      <c r="R52" s="8" t="s">
        <v>160</v>
      </c>
      <c r="S52" s="8" t="s">
        <v>160</v>
      </c>
      <c r="T52" s="8" t="s">
        <v>380</v>
      </c>
    </row>
    <row r="53" customFormat="false" ht="15" hidden="false" customHeight="false" outlineLevel="0" collapsed="false">
      <c r="A53" s="8" t="s">
        <v>381</v>
      </c>
      <c r="B53" s="8" t="s">
        <v>382</v>
      </c>
      <c r="C53" s="8" t="s">
        <v>77</v>
      </c>
      <c r="D53" s="8" t="s">
        <v>383</v>
      </c>
      <c r="E53" s="9" t="n">
        <f aca="false">IF(C53="inhibition",-1,1)</f>
        <v>1</v>
      </c>
      <c r="F53" s="8" t="s">
        <v>384</v>
      </c>
      <c r="G53" s="10" t="s">
        <v>385</v>
      </c>
      <c r="H53" s="8"/>
      <c r="I53" s="8" t="s">
        <v>158</v>
      </c>
      <c r="J53" s="8" t="s">
        <v>159</v>
      </c>
      <c r="K53" s="8" t="s">
        <v>160</v>
      </c>
      <c r="L53" s="8"/>
      <c r="M53" s="8" t="s">
        <v>86</v>
      </c>
      <c r="N53" s="8"/>
      <c r="O53" s="8" t="s">
        <v>285</v>
      </c>
      <c r="P53" s="8" t="s">
        <v>285</v>
      </c>
      <c r="Q53" s="8" t="s">
        <v>215</v>
      </c>
      <c r="R53" s="8" t="s">
        <v>160</v>
      </c>
      <c r="S53" s="8" t="s">
        <v>160</v>
      </c>
      <c r="T53" s="8" t="s">
        <v>386</v>
      </c>
    </row>
    <row r="54" customFormat="false" ht="15" hidden="false" customHeight="false" outlineLevel="0" collapsed="false">
      <c r="A54" s="8" t="s">
        <v>387</v>
      </c>
      <c r="B54" s="8" t="s">
        <v>388</v>
      </c>
      <c r="C54" s="8" t="s">
        <v>77</v>
      </c>
      <c r="D54" s="8" t="s">
        <v>382</v>
      </c>
      <c r="E54" s="9" t="n">
        <f aca="false">IF(C54="inhibition",-1,1)</f>
        <v>1</v>
      </c>
      <c r="F54" s="8" t="s">
        <v>389</v>
      </c>
      <c r="G54" s="10" t="s">
        <v>390</v>
      </c>
      <c r="H54" s="8" t="s">
        <v>391</v>
      </c>
      <c r="I54" s="8" t="s">
        <v>158</v>
      </c>
      <c r="J54" s="8" t="s">
        <v>159</v>
      </c>
      <c r="K54" s="8" t="s">
        <v>160</v>
      </c>
      <c r="L54" s="8"/>
      <c r="M54" s="8" t="s">
        <v>86</v>
      </c>
      <c r="N54" s="8"/>
      <c r="O54" s="8" t="s">
        <v>285</v>
      </c>
      <c r="P54" s="8" t="s">
        <v>285</v>
      </c>
      <c r="Q54" s="8" t="s">
        <v>160</v>
      </c>
      <c r="R54" s="8" t="s">
        <v>160</v>
      </c>
      <c r="S54" s="8" t="s">
        <v>160</v>
      </c>
      <c r="T54" s="8" t="s">
        <v>392</v>
      </c>
    </row>
    <row r="55" customFormat="false" ht="15" hidden="false" customHeight="false" outlineLevel="0" collapsed="false">
      <c r="A55" s="8" t="s">
        <v>393</v>
      </c>
      <c r="B55" s="8" t="s">
        <v>170</v>
      </c>
      <c r="C55" s="8" t="s">
        <v>144</v>
      </c>
      <c r="D55" s="8" t="s">
        <v>382</v>
      </c>
      <c r="E55" s="9" t="n">
        <f aca="false">IF(C55="inhibition",-1,1)</f>
        <v>-1</v>
      </c>
      <c r="F55" s="8" t="s">
        <v>273</v>
      </c>
      <c r="G55" s="10" t="s">
        <v>274</v>
      </c>
      <c r="H55" s="8" t="s">
        <v>275</v>
      </c>
      <c r="I55" s="8" t="s">
        <v>138</v>
      </c>
      <c r="J55" s="8" t="s">
        <v>106</v>
      </c>
      <c r="K55" s="8" t="s">
        <v>276</v>
      </c>
      <c r="L55" s="8"/>
      <c r="M55" s="8" t="s">
        <v>86</v>
      </c>
      <c r="N55" s="8"/>
      <c r="O55" s="8" t="s">
        <v>151</v>
      </c>
      <c r="P55" s="8" t="s">
        <v>285</v>
      </c>
      <c r="Q55" s="8" t="s">
        <v>277</v>
      </c>
      <c r="R55" s="8" t="s">
        <v>278</v>
      </c>
      <c r="S55" s="8" t="s">
        <v>276</v>
      </c>
      <c r="T55" s="8" t="s">
        <v>279</v>
      </c>
    </row>
    <row r="56" customFormat="false" ht="15" hidden="false" customHeight="false" outlineLevel="0" collapsed="false">
      <c r="A56" s="8" t="s">
        <v>394</v>
      </c>
      <c r="B56" s="8" t="s">
        <v>395</v>
      </c>
      <c r="C56" s="8" t="s">
        <v>77</v>
      </c>
      <c r="D56" s="8" t="s">
        <v>396</v>
      </c>
      <c r="E56" s="9" t="n">
        <f aca="false">IF(C56="inhibition",-1,1)</f>
        <v>1</v>
      </c>
      <c r="F56" s="8" t="s">
        <v>397</v>
      </c>
      <c r="G56" s="10" t="s">
        <v>398</v>
      </c>
      <c r="H56" s="8" t="s">
        <v>399</v>
      </c>
      <c r="I56" s="8" t="s">
        <v>138</v>
      </c>
      <c r="J56" s="8" t="s">
        <v>83</v>
      </c>
      <c r="K56" s="8" t="s">
        <v>84</v>
      </c>
      <c r="L56" s="8" t="s">
        <v>400</v>
      </c>
      <c r="M56" s="8" t="s">
        <v>86</v>
      </c>
      <c r="N56" s="8"/>
      <c r="O56" s="8" t="s">
        <v>87</v>
      </c>
      <c r="P56" s="8" t="s">
        <v>151</v>
      </c>
      <c r="Q56" s="8" t="s">
        <v>140</v>
      </c>
      <c r="R56" s="8" t="s">
        <v>401</v>
      </c>
      <c r="S56" s="8" t="s">
        <v>84</v>
      </c>
      <c r="T56" s="8" t="s">
        <v>402</v>
      </c>
    </row>
    <row r="57" customFormat="false" ht="15" hidden="false" customHeight="false" outlineLevel="0" collapsed="false">
      <c r="A57" s="8" t="s">
        <v>403</v>
      </c>
      <c r="B57" s="8" t="s">
        <v>335</v>
      </c>
      <c r="C57" s="8" t="s">
        <v>77</v>
      </c>
      <c r="D57" s="8" t="s">
        <v>396</v>
      </c>
      <c r="E57" s="9" t="n">
        <f aca="false">IF(C57="inhibition",-1,1)</f>
        <v>1</v>
      </c>
      <c r="F57" s="8" t="s">
        <v>404</v>
      </c>
      <c r="G57" s="10" t="s">
        <v>405</v>
      </c>
      <c r="H57" s="8"/>
      <c r="I57" s="8" t="s">
        <v>158</v>
      </c>
      <c r="J57" s="8" t="s">
        <v>159</v>
      </c>
      <c r="K57" s="8" t="s">
        <v>160</v>
      </c>
      <c r="L57" s="8"/>
      <c r="M57" s="8" t="s">
        <v>86</v>
      </c>
      <c r="N57" s="8"/>
      <c r="O57" s="8" t="s">
        <v>87</v>
      </c>
      <c r="P57" s="8" t="s">
        <v>151</v>
      </c>
      <c r="Q57" s="8" t="s">
        <v>406</v>
      </c>
      <c r="R57" s="8" t="s">
        <v>160</v>
      </c>
      <c r="S57" s="8" t="s">
        <v>160</v>
      </c>
      <c r="T57" s="8" t="s">
        <v>407</v>
      </c>
    </row>
    <row r="58" customFormat="false" ht="15" hidden="false" customHeight="false" outlineLevel="0" collapsed="false">
      <c r="A58" s="8" t="s">
        <v>408</v>
      </c>
      <c r="B58" s="8" t="s">
        <v>219</v>
      </c>
      <c r="C58" s="8" t="s">
        <v>77</v>
      </c>
      <c r="D58" s="8" t="s">
        <v>409</v>
      </c>
      <c r="E58" s="9" t="n">
        <f aca="false">IF(C58="inhibition",-1,1)</f>
        <v>1</v>
      </c>
      <c r="F58" s="8" t="s">
        <v>410</v>
      </c>
      <c r="G58" s="10" t="s">
        <v>411</v>
      </c>
      <c r="H58" s="8" t="s">
        <v>412</v>
      </c>
      <c r="I58" s="8" t="s">
        <v>158</v>
      </c>
      <c r="J58" s="8" t="s">
        <v>159</v>
      </c>
      <c r="K58" s="8" t="s">
        <v>160</v>
      </c>
      <c r="L58" s="8"/>
      <c r="M58" s="8" t="s">
        <v>86</v>
      </c>
      <c r="N58" s="8"/>
      <c r="O58" s="8" t="s">
        <v>87</v>
      </c>
      <c r="P58" s="8" t="s">
        <v>116</v>
      </c>
      <c r="Q58" s="8" t="s">
        <v>215</v>
      </c>
      <c r="R58" s="8" t="s">
        <v>160</v>
      </c>
      <c r="S58" s="8" t="s">
        <v>160</v>
      </c>
      <c r="T58" s="8" t="s">
        <v>413</v>
      </c>
    </row>
    <row r="59" customFormat="false" ht="15" hidden="false" customHeight="false" outlineLevel="0" collapsed="false">
      <c r="A59" s="8" t="s">
        <v>414</v>
      </c>
      <c r="B59" s="8" t="s">
        <v>128</v>
      </c>
      <c r="C59" s="8" t="s">
        <v>77</v>
      </c>
      <c r="D59" s="8" t="s">
        <v>409</v>
      </c>
      <c r="E59" s="9" t="n">
        <f aca="false">IF(C59="inhibition",-1,1)</f>
        <v>1</v>
      </c>
      <c r="F59" s="8" t="s">
        <v>415</v>
      </c>
      <c r="G59" s="10" t="s">
        <v>416</v>
      </c>
      <c r="H59" s="8"/>
      <c r="I59" s="8" t="s">
        <v>82</v>
      </c>
      <c r="J59" s="8" t="s">
        <v>83</v>
      </c>
      <c r="K59" s="8" t="s">
        <v>84</v>
      </c>
      <c r="L59" s="8"/>
      <c r="M59" s="8" t="s">
        <v>86</v>
      </c>
      <c r="N59" s="8"/>
      <c r="O59" s="8" t="s">
        <v>87</v>
      </c>
      <c r="P59" s="8" t="s">
        <v>116</v>
      </c>
      <c r="Q59" s="8" t="s">
        <v>97</v>
      </c>
      <c r="R59" s="8" t="s">
        <v>98</v>
      </c>
      <c r="S59" s="8" t="s">
        <v>108</v>
      </c>
      <c r="T59" s="8" t="s">
        <v>417</v>
      </c>
    </row>
    <row r="60" customFormat="false" ht="15" hidden="false" customHeight="false" outlineLevel="0" collapsed="false">
      <c r="A60" s="8" t="s">
        <v>418</v>
      </c>
      <c r="B60" s="8" t="s">
        <v>102</v>
      </c>
      <c r="C60" s="8" t="s">
        <v>77</v>
      </c>
      <c r="D60" s="8" t="s">
        <v>419</v>
      </c>
      <c r="E60" s="9" t="n">
        <f aca="false">IF(C60="inhibition",-1,1)</f>
        <v>1</v>
      </c>
      <c r="F60" s="8" t="s">
        <v>420</v>
      </c>
      <c r="G60" s="10" t="s">
        <v>421</v>
      </c>
      <c r="H60" s="8"/>
      <c r="I60" s="8" t="s">
        <v>82</v>
      </c>
      <c r="J60" s="8" t="s">
        <v>106</v>
      </c>
      <c r="K60" s="8" t="s">
        <v>236</v>
      </c>
      <c r="L60" s="8"/>
      <c r="M60" s="8" t="s">
        <v>86</v>
      </c>
      <c r="N60" s="8"/>
      <c r="O60" s="8" t="s">
        <v>87</v>
      </c>
      <c r="P60" s="8" t="s">
        <v>311</v>
      </c>
      <c r="Q60" s="8" t="s">
        <v>422</v>
      </c>
      <c r="R60" s="8" t="s">
        <v>278</v>
      </c>
      <c r="S60" s="8" t="s">
        <v>423</v>
      </c>
      <c r="T60" s="8" t="s">
        <v>424</v>
      </c>
    </row>
    <row r="61" customFormat="false" ht="15" hidden="false" customHeight="false" outlineLevel="0" collapsed="false">
      <c r="A61" s="8" t="s">
        <v>425</v>
      </c>
      <c r="B61" s="8" t="s">
        <v>426</v>
      </c>
      <c r="C61" s="8" t="s">
        <v>77</v>
      </c>
      <c r="D61" s="8" t="s">
        <v>419</v>
      </c>
      <c r="E61" s="9" t="n">
        <f aca="false">IF(C61="inhibition",-1,1)</f>
        <v>1</v>
      </c>
      <c r="F61" s="8" t="s">
        <v>427</v>
      </c>
      <c r="G61" s="10" t="s">
        <v>428</v>
      </c>
      <c r="H61" s="8" t="s">
        <v>429</v>
      </c>
      <c r="I61" s="8" t="s">
        <v>138</v>
      </c>
      <c r="J61" s="8" t="s">
        <v>106</v>
      </c>
      <c r="K61" s="8" t="s">
        <v>84</v>
      </c>
      <c r="L61" s="8"/>
      <c r="M61" s="8" t="s">
        <v>86</v>
      </c>
      <c r="N61" s="8"/>
      <c r="O61" s="8" t="s">
        <v>87</v>
      </c>
      <c r="P61" s="8" t="s">
        <v>311</v>
      </c>
      <c r="Q61" s="8" t="s">
        <v>190</v>
      </c>
      <c r="R61" s="8" t="s">
        <v>430</v>
      </c>
      <c r="S61" s="8" t="s">
        <v>99</v>
      </c>
      <c r="T61" s="8" t="s">
        <v>431</v>
      </c>
    </row>
    <row r="62" customFormat="false" ht="15" hidden="false" customHeight="false" outlineLevel="0" collapsed="false">
      <c r="A62" s="8" t="s">
        <v>432</v>
      </c>
      <c r="B62" s="8" t="s">
        <v>433</v>
      </c>
      <c r="C62" s="8" t="s">
        <v>144</v>
      </c>
      <c r="D62" s="8" t="s">
        <v>419</v>
      </c>
      <c r="E62" s="9" t="n">
        <f aca="false">IF(C62="inhibition",-1,1)</f>
        <v>-1</v>
      </c>
      <c r="F62" s="8" t="s">
        <v>434</v>
      </c>
      <c r="G62" s="10" t="s">
        <v>435</v>
      </c>
      <c r="H62" s="8"/>
      <c r="I62" s="8" t="s">
        <v>82</v>
      </c>
      <c r="J62" s="8" t="s">
        <v>106</v>
      </c>
      <c r="K62" s="8" t="s">
        <v>84</v>
      </c>
      <c r="L62" s="8"/>
      <c r="M62" s="8" t="s">
        <v>86</v>
      </c>
      <c r="N62" s="8"/>
      <c r="O62" s="8" t="s">
        <v>214</v>
      </c>
      <c r="P62" s="8" t="s">
        <v>311</v>
      </c>
      <c r="Q62" s="8" t="s">
        <v>97</v>
      </c>
      <c r="R62" s="8" t="s">
        <v>430</v>
      </c>
      <c r="S62" s="8" t="s">
        <v>99</v>
      </c>
      <c r="T62" s="8" t="s">
        <v>436</v>
      </c>
    </row>
    <row r="63" customFormat="false" ht="15" hidden="false" customHeight="false" outlineLevel="0" collapsed="false">
      <c r="A63" s="8" t="s">
        <v>437</v>
      </c>
      <c r="B63" s="8" t="s">
        <v>438</v>
      </c>
      <c r="C63" s="8" t="s">
        <v>77</v>
      </c>
      <c r="D63" s="8" t="s">
        <v>439</v>
      </c>
      <c r="E63" s="9" t="n">
        <f aca="false">IF(C63="inhibition",-1,1)</f>
        <v>1</v>
      </c>
      <c r="F63" s="8" t="s">
        <v>440</v>
      </c>
      <c r="G63" s="10" t="s">
        <v>441</v>
      </c>
      <c r="H63" s="8" t="s">
        <v>442</v>
      </c>
      <c r="I63" s="8" t="s">
        <v>158</v>
      </c>
      <c r="J63" s="8" t="s">
        <v>159</v>
      </c>
      <c r="K63" s="8" t="s">
        <v>160</v>
      </c>
      <c r="L63" s="8"/>
      <c r="M63" s="8" t="s">
        <v>86</v>
      </c>
      <c r="N63" s="8"/>
      <c r="O63" s="8" t="s">
        <v>443</v>
      </c>
      <c r="P63" s="8" t="s">
        <v>443</v>
      </c>
      <c r="Q63" s="8" t="s">
        <v>160</v>
      </c>
      <c r="R63" s="8" t="s">
        <v>160</v>
      </c>
      <c r="S63" s="8" t="s">
        <v>160</v>
      </c>
      <c r="T63" s="8" t="s">
        <v>444</v>
      </c>
    </row>
    <row r="64" customFormat="false" ht="15" hidden="false" customHeight="false" outlineLevel="0" collapsed="false">
      <c r="A64" s="8" t="s">
        <v>445</v>
      </c>
      <c r="B64" s="8" t="s">
        <v>76</v>
      </c>
      <c r="C64" s="8" t="s">
        <v>77</v>
      </c>
      <c r="D64" s="8" t="s">
        <v>446</v>
      </c>
      <c r="E64" s="9" t="n">
        <f aca="false">IF(C64="inhibition",-1,1)</f>
        <v>1</v>
      </c>
      <c r="F64" s="8" t="s">
        <v>447</v>
      </c>
      <c r="G64" s="10" t="s">
        <v>448</v>
      </c>
      <c r="H64" s="8" t="s">
        <v>449</v>
      </c>
      <c r="I64" s="8" t="s">
        <v>82</v>
      </c>
      <c r="J64" s="8" t="s">
        <v>106</v>
      </c>
      <c r="K64" s="8" t="s">
        <v>84</v>
      </c>
      <c r="L64" s="8"/>
      <c r="M64" s="8" t="s">
        <v>86</v>
      </c>
      <c r="N64" s="8"/>
      <c r="O64" s="8" t="s">
        <v>87</v>
      </c>
      <c r="P64" s="8" t="s">
        <v>87</v>
      </c>
      <c r="Q64" s="8" t="s">
        <v>97</v>
      </c>
      <c r="R64" s="8" t="s">
        <v>107</v>
      </c>
      <c r="S64" s="8" t="s">
        <v>99</v>
      </c>
      <c r="T64" s="8" t="s">
        <v>450</v>
      </c>
    </row>
    <row r="65" customFormat="false" ht="15" hidden="false" customHeight="false" outlineLevel="0" collapsed="false">
      <c r="A65" s="8" t="s">
        <v>451</v>
      </c>
      <c r="B65" s="8" t="s">
        <v>111</v>
      </c>
      <c r="C65" s="8" t="s">
        <v>77</v>
      </c>
      <c r="D65" s="8" t="s">
        <v>452</v>
      </c>
      <c r="E65" s="9" t="n">
        <f aca="false">IF(C65="inhibition",-1,1)</f>
        <v>1</v>
      </c>
      <c r="F65" s="8" t="s">
        <v>453</v>
      </c>
      <c r="G65" s="10" t="s">
        <v>454</v>
      </c>
      <c r="H65" s="8" t="s">
        <v>455</v>
      </c>
      <c r="I65" s="8" t="s">
        <v>138</v>
      </c>
      <c r="J65" s="8" t="s">
        <v>106</v>
      </c>
      <c r="K65" s="8" t="s">
        <v>84</v>
      </c>
      <c r="L65" s="8"/>
      <c r="M65" s="8" t="s">
        <v>86</v>
      </c>
      <c r="N65" s="8"/>
      <c r="O65" s="8" t="s">
        <v>87</v>
      </c>
      <c r="P65" s="8" t="s">
        <v>88</v>
      </c>
      <c r="Q65" s="8" t="s">
        <v>230</v>
      </c>
      <c r="R65" s="8" t="s">
        <v>191</v>
      </c>
      <c r="S65" s="8" t="s">
        <v>99</v>
      </c>
      <c r="T65" s="8" t="s">
        <v>456</v>
      </c>
    </row>
    <row r="66" customFormat="false" ht="15" hidden="false" customHeight="false" outlineLevel="0" collapsed="false">
      <c r="A66" s="8" t="s">
        <v>457</v>
      </c>
      <c r="B66" s="8" t="s">
        <v>322</v>
      </c>
      <c r="C66" s="8" t="s">
        <v>77</v>
      </c>
      <c r="D66" s="8" t="s">
        <v>452</v>
      </c>
      <c r="E66" s="9" t="n">
        <f aca="false">IF(C66="inhibition",-1,1)</f>
        <v>1</v>
      </c>
      <c r="F66" s="8" t="s">
        <v>458</v>
      </c>
      <c r="G66" s="10" t="s">
        <v>459</v>
      </c>
      <c r="H66" s="8" t="s">
        <v>460</v>
      </c>
      <c r="I66" s="8" t="s">
        <v>138</v>
      </c>
      <c r="J66" s="8" t="s">
        <v>106</v>
      </c>
      <c r="K66" s="8" t="s">
        <v>84</v>
      </c>
      <c r="L66" s="8"/>
      <c r="M66" s="8" t="s">
        <v>86</v>
      </c>
      <c r="N66" s="8"/>
      <c r="O66" s="8" t="s">
        <v>87</v>
      </c>
      <c r="P66" s="8" t="s">
        <v>88</v>
      </c>
      <c r="Q66" s="8" t="s">
        <v>230</v>
      </c>
      <c r="R66" s="8" t="s">
        <v>278</v>
      </c>
      <c r="S66" s="8" t="s">
        <v>99</v>
      </c>
      <c r="T66" s="8" t="s">
        <v>461</v>
      </c>
    </row>
    <row r="67" customFormat="false" ht="15" hidden="false" customHeight="false" outlineLevel="0" collapsed="false">
      <c r="A67" s="8" t="s">
        <v>462</v>
      </c>
      <c r="B67" s="8" t="s">
        <v>102</v>
      </c>
      <c r="C67" s="8" t="s">
        <v>144</v>
      </c>
      <c r="D67" s="8" t="s">
        <v>452</v>
      </c>
      <c r="E67" s="9" t="n">
        <f aca="false">IF(C67="inhibition",-1,1)</f>
        <v>-1</v>
      </c>
      <c r="F67" s="8" t="s">
        <v>463</v>
      </c>
      <c r="G67" s="10" t="s">
        <v>464</v>
      </c>
      <c r="H67" s="8" t="s">
        <v>465</v>
      </c>
      <c r="I67" s="8" t="s">
        <v>138</v>
      </c>
      <c r="J67" s="8" t="s">
        <v>106</v>
      </c>
      <c r="K67" s="8" t="s">
        <v>84</v>
      </c>
      <c r="L67" s="8"/>
      <c r="M67" s="8" t="s">
        <v>86</v>
      </c>
      <c r="N67" s="8"/>
      <c r="O67" s="8" t="s">
        <v>87</v>
      </c>
      <c r="P67" s="8" t="s">
        <v>88</v>
      </c>
      <c r="Q67" s="8" t="s">
        <v>230</v>
      </c>
      <c r="R67" s="8" t="s">
        <v>466</v>
      </c>
      <c r="S67" s="8" t="s">
        <v>99</v>
      </c>
      <c r="T67" s="8" t="s">
        <v>467</v>
      </c>
    </row>
    <row r="68" customFormat="false" ht="15" hidden="false" customHeight="false" outlineLevel="0" collapsed="false">
      <c r="A68" s="8" t="s">
        <v>468</v>
      </c>
      <c r="B68" s="8" t="s">
        <v>219</v>
      </c>
      <c r="C68" s="8" t="s">
        <v>77</v>
      </c>
      <c r="D68" s="8" t="s">
        <v>469</v>
      </c>
      <c r="E68" s="9" t="n">
        <f aca="false">IF(C68="inhibition",-1,1)</f>
        <v>1</v>
      </c>
      <c r="F68" s="8" t="s">
        <v>470</v>
      </c>
      <c r="G68" s="10" t="s">
        <v>471</v>
      </c>
      <c r="H68" s="8" t="s">
        <v>472</v>
      </c>
      <c r="I68" s="8" t="s">
        <v>138</v>
      </c>
      <c r="J68" s="8" t="s">
        <v>159</v>
      </c>
      <c r="K68" s="8" t="s">
        <v>84</v>
      </c>
      <c r="L68" s="8"/>
      <c r="M68" s="8" t="s">
        <v>86</v>
      </c>
      <c r="N68" s="8"/>
      <c r="O68" s="8" t="s">
        <v>87</v>
      </c>
      <c r="P68" s="8" t="s">
        <v>88</v>
      </c>
      <c r="Q68" s="8" t="s">
        <v>190</v>
      </c>
      <c r="R68" s="8" t="s">
        <v>473</v>
      </c>
      <c r="S68" s="8" t="s">
        <v>99</v>
      </c>
      <c r="T68" s="8" t="s">
        <v>474</v>
      </c>
    </row>
    <row r="69" customFormat="false" ht="15" hidden="false" customHeight="false" outlineLevel="0" collapsed="false">
      <c r="A69" s="8" t="s">
        <v>475</v>
      </c>
      <c r="B69" s="8" t="s">
        <v>476</v>
      </c>
      <c r="C69" s="8" t="s">
        <v>77</v>
      </c>
      <c r="D69" s="8" t="s">
        <v>469</v>
      </c>
      <c r="E69" s="9" t="n">
        <f aca="false">IF(C69="inhibition",-1,1)</f>
        <v>1</v>
      </c>
      <c r="F69" s="8" t="s">
        <v>477</v>
      </c>
      <c r="G69" s="10" t="s">
        <v>478</v>
      </c>
      <c r="H69" s="8" t="s">
        <v>479</v>
      </c>
      <c r="I69" s="8" t="s">
        <v>82</v>
      </c>
      <c r="J69" s="8" t="s">
        <v>106</v>
      </c>
      <c r="K69" s="8" t="s">
        <v>84</v>
      </c>
      <c r="L69" s="8"/>
      <c r="M69" s="8" t="s">
        <v>86</v>
      </c>
      <c r="N69" s="8"/>
      <c r="O69" s="8" t="s">
        <v>87</v>
      </c>
      <c r="P69" s="8" t="s">
        <v>88</v>
      </c>
      <c r="Q69" s="8" t="s">
        <v>97</v>
      </c>
      <c r="R69" s="8" t="s">
        <v>107</v>
      </c>
      <c r="S69" s="8" t="s">
        <v>99</v>
      </c>
      <c r="T69" s="8" t="s">
        <v>480</v>
      </c>
    </row>
    <row r="70" customFormat="false" ht="15" hidden="false" customHeight="false" outlineLevel="0" collapsed="false">
      <c r="A70" s="8" t="s">
        <v>481</v>
      </c>
      <c r="B70" s="8" t="s">
        <v>426</v>
      </c>
      <c r="C70" s="8" t="s">
        <v>77</v>
      </c>
      <c r="D70" s="8" t="s">
        <v>469</v>
      </c>
      <c r="E70" s="9" t="n">
        <f aca="false">IF(C70="inhibition",-1,1)</f>
        <v>1</v>
      </c>
      <c r="F70" s="8" t="s">
        <v>482</v>
      </c>
      <c r="G70" s="10" t="s">
        <v>483</v>
      </c>
      <c r="H70" s="8" t="s">
        <v>484</v>
      </c>
      <c r="I70" s="8" t="s">
        <v>158</v>
      </c>
      <c r="J70" s="8" t="s">
        <v>159</v>
      </c>
      <c r="K70" s="8" t="s">
        <v>160</v>
      </c>
      <c r="L70" s="8"/>
      <c r="M70" s="8" t="s">
        <v>86</v>
      </c>
      <c r="N70" s="8"/>
      <c r="O70" s="8" t="s">
        <v>87</v>
      </c>
      <c r="P70" s="8" t="s">
        <v>88</v>
      </c>
      <c r="Q70" s="8" t="s">
        <v>215</v>
      </c>
      <c r="R70" s="8" t="s">
        <v>160</v>
      </c>
      <c r="S70" s="8" t="s">
        <v>160</v>
      </c>
      <c r="T70" s="8" t="s">
        <v>485</v>
      </c>
    </row>
    <row r="71" customFormat="false" ht="15" hidden="false" customHeight="false" outlineLevel="0" collapsed="false">
      <c r="A71" s="8" t="s">
        <v>486</v>
      </c>
      <c r="B71" s="8" t="s">
        <v>93</v>
      </c>
      <c r="C71" s="8" t="s">
        <v>144</v>
      </c>
      <c r="D71" s="8" t="s">
        <v>469</v>
      </c>
      <c r="E71" s="9" t="n">
        <f aca="false">IF(C71="inhibition",-1,1)</f>
        <v>-1</v>
      </c>
      <c r="F71" s="8" t="s">
        <v>487</v>
      </c>
      <c r="G71" s="10" t="s">
        <v>488</v>
      </c>
      <c r="H71" s="8"/>
      <c r="I71" s="8" t="s">
        <v>82</v>
      </c>
      <c r="J71" s="8" t="s">
        <v>106</v>
      </c>
      <c r="K71" s="8" t="s">
        <v>84</v>
      </c>
      <c r="L71" s="8"/>
      <c r="M71" s="8" t="s">
        <v>86</v>
      </c>
      <c r="N71" s="8"/>
      <c r="O71" s="8" t="s">
        <v>87</v>
      </c>
      <c r="P71" s="8" t="s">
        <v>88</v>
      </c>
      <c r="Q71" s="8" t="s">
        <v>97</v>
      </c>
      <c r="R71" s="8" t="s">
        <v>430</v>
      </c>
      <c r="S71" s="8" t="s">
        <v>99</v>
      </c>
      <c r="T71" s="8" t="s">
        <v>489</v>
      </c>
    </row>
    <row r="72" customFormat="false" ht="15" hidden="false" customHeight="false" outlineLevel="0" collapsed="false">
      <c r="A72" s="8" t="s">
        <v>490</v>
      </c>
      <c r="B72" s="8" t="s">
        <v>102</v>
      </c>
      <c r="C72" s="8" t="s">
        <v>144</v>
      </c>
      <c r="D72" s="8" t="s">
        <v>469</v>
      </c>
      <c r="E72" s="9" t="n">
        <f aca="false">IF(C72="inhibition",-1,1)</f>
        <v>-1</v>
      </c>
      <c r="F72" s="8" t="s">
        <v>463</v>
      </c>
      <c r="G72" s="10" t="s">
        <v>464</v>
      </c>
      <c r="H72" s="8" t="s">
        <v>465</v>
      </c>
      <c r="I72" s="8" t="s">
        <v>138</v>
      </c>
      <c r="J72" s="8" t="s">
        <v>106</v>
      </c>
      <c r="K72" s="8" t="s">
        <v>84</v>
      </c>
      <c r="L72" s="8"/>
      <c r="M72" s="8" t="s">
        <v>86</v>
      </c>
      <c r="N72" s="8"/>
      <c r="O72" s="8" t="s">
        <v>87</v>
      </c>
      <c r="P72" s="8" t="s">
        <v>88</v>
      </c>
      <c r="Q72" s="8" t="s">
        <v>230</v>
      </c>
      <c r="R72" s="8" t="s">
        <v>466</v>
      </c>
      <c r="S72" s="8" t="s">
        <v>99</v>
      </c>
      <c r="T72" s="8" t="s">
        <v>467</v>
      </c>
    </row>
    <row r="73" customFormat="false" ht="15" hidden="false" customHeight="false" outlineLevel="0" collapsed="false">
      <c r="A73" s="8" t="s">
        <v>491</v>
      </c>
      <c r="B73" s="8" t="s">
        <v>76</v>
      </c>
      <c r="C73" s="8" t="s">
        <v>77</v>
      </c>
      <c r="D73" s="8" t="s">
        <v>492</v>
      </c>
      <c r="E73" s="9" t="n">
        <f aca="false">IF(C73="inhibition",-1,1)</f>
        <v>1</v>
      </c>
      <c r="F73" s="8" t="s">
        <v>79</v>
      </c>
      <c r="G73" s="10" t="s">
        <v>80</v>
      </c>
      <c r="H73" s="8" t="s">
        <v>81</v>
      </c>
      <c r="I73" s="8" t="s">
        <v>82</v>
      </c>
      <c r="J73" s="8" t="s">
        <v>83</v>
      </c>
      <c r="K73" s="8" t="s">
        <v>84</v>
      </c>
      <c r="L73" s="8" t="s">
        <v>493</v>
      </c>
      <c r="M73" s="8" t="s">
        <v>86</v>
      </c>
      <c r="N73" s="8"/>
      <c r="O73" s="8" t="s">
        <v>87</v>
      </c>
      <c r="P73" s="8" t="s">
        <v>88</v>
      </c>
      <c r="Q73" s="8" t="s">
        <v>89</v>
      </c>
      <c r="R73" s="8" t="s">
        <v>90</v>
      </c>
      <c r="S73" s="8" t="s">
        <v>84</v>
      </c>
      <c r="T73" s="8" t="s">
        <v>91</v>
      </c>
    </row>
    <row r="74" customFormat="false" ht="15" hidden="false" customHeight="false" outlineLevel="0" collapsed="false">
      <c r="A74" s="8" t="s">
        <v>494</v>
      </c>
      <c r="B74" s="8" t="s">
        <v>93</v>
      </c>
      <c r="C74" s="8" t="s">
        <v>77</v>
      </c>
      <c r="D74" s="8" t="s">
        <v>492</v>
      </c>
      <c r="E74" s="9" t="n">
        <f aca="false">IF(C74="inhibition",-1,1)</f>
        <v>1</v>
      </c>
      <c r="F74" s="8" t="s">
        <v>94</v>
      </c>
      <c r="G74" s="10" t="s">
        <v>95</v>
      </c>
      <c r="H74" s="8" t="s">
        <v>96</v>
      </c>
      <c r="I74" s="8" t="s">
        <v>82</v>
      </c>
      <c r="J74" s="8" t="s">
        <v>83</v>
      </c>
      <c r="K74" s="8" t="s">
        <v>84</v>
      </c>
      <c r="L74" s="8"/>
      <c r="M74" s="8" t="s">
        <v>86</v>
      </c>
      <c r="N74" s="8"/>
      <c r="O74" s="8" t="s">
        <v>87</v>
      </c>
      <c r="P74" s="8" t="s">
        <v>88</v>
      </c>
      <c r="Q74" s="8" t="s">
        <v>97</v>
      </c>
      <c r="R74" s="8" t="s">
        <v>98</v>
      </c>
      <c r="S74" s="8" t="s">
        <v>99</v>
      </c>
      <c r="T74" s="8" t="s">
        <v>100</v>
      </c>
    </row>
    <row r="75" customFormat="false" ht="15" hidden="false" customHeight="false" outlineLevel="0" collapsed="false">
      <c r="A75" s="8" t="s">
        <v>495</v>
      </c>
      <c r="B75" s="8" t="s">
        <v>102</v>
      </c>
      <c r="C75" s="8" t="s">
        <v>77</v>
      </c>
      <c r="D75" s="8" t="s">
        <v>492</v>
      </c>
      <c r="E75" s="9" t="n">
        <f aca="false">IF(C75="inhibition",-1,1)</f>
        <v>1</v>
      </c>
      <c r="F75" s="8" t="s">
        <v>496</v>
      </c>
      <c r="G75" s="10" t="s">
        <v>497</v>
      </c>
      <c r="H75" s="8" t="s">
        <v>498</v>
      </c>
      <c r="I75" s="8" t="s">
        <v>82</v>
      </c>
      <c r="J75" s="8" t="s">
        <v>106</v>
      </c>
      <c r="K75" s="8" t="s">
        <v>499</v>
      </c>
      <c r="L75" s="8"/>
      <c r="M75" s="8" t="s">
        <v>86</v>
      </c>
      <c r="N75" s="8"/>
      <c r="O75" s="8" t="s">
        <v>87</v>
      </c>
      <c r="P75" s="8" t="s">
        <v>88</v>
      </c>
      <c r="Q75" s="8" t="s">
        <v>500</v>
      </c>
      <c r="R75" s="8" t="s">
        <v>466</v>
      </c>
      <c r="S75" s="8" t="s">
        <v>501</v>
      </c>
      <c r="T75" s="8" t="s">
        <v>502</v>
      </c>
    </row>
    <row r="76" customFormat="false" ht="15" hidden="false" customHeight="false" outlineLevel="0" collapsed="false">
      <c r="A76" s="8" t="s">
        <v>503</v>
      </c>
      <c r="B76" s="8" t="s">
        <v>249</v>
      </c>
      <c r="C76" s="8" t="s">
        <v>77</v>
      </c>
      <c r="D76" s="8" t="s">
        <v>492</v>
      </c>
      <c r="E76" s="9" t="n">
        <f aca="false">IF(C76="inhibition",-1,1)</f>
        <v>1</v>
      </c>
      <c r="F76" s="8" t="s">
        <v>504</v>
      </c>
      <c r="G76" s="10" t="s">
        <v>505</v>
      </c>
      <c r="H76" s="8" t="s">
        <v>506</v>
      </c>
      <c r="I76" s="8" t="s">
        <v>82</v>
      </c>
      <c r="J76" s="8" t="s">
        <v>106</v>
      </c>
      <c r="K76" s="8" t="s">
        <v>84</v>
      </c>
      <c r="L76" s="8"/>
      <c r="M76" s="8" t="s">
        <v>86</v>
      </c>
      <c r="N76" s="8"/>
      <c r="O76" s="8" t="s">
        <v>87</v>
      </c>
      <c r="P76" s="8" t="s">
        <v>88</v>
      </c>
      <c r="Q76" s="8" t="s">
        <v>97</v>
      </c>
      <c r="R76" s="8" t="s">
        <v>430</v>
      </c>
      <c r="S76" s="8" t="s">
        <v>99</v>
      </c>
      <c r="T76" s="8" t="s">
        <v>507</v>
      </c>
    </row>
    <row r="77" customFormat="false" ht="15" hidden="false" customHeight="false" outlineLevel="0" collapsed="false">
      <c r="A77" s="8" t="s">
        <v>508</v>
      </c>
      <c r="B77" s="8" t="s">
        <v>219</v>
      </c>
      <c r="C77" s="8" t="s">
        <v>77</v>
      </c>
      <c r="D77" s="8" t="s">
        <v>509</v>
      </c>
      <c r="E77" s="9" t="n">
        <f aca="false">IF(C77="inhibition",-1,1)</f>
        <v>1</v>
      </c>
      <c r="F77" s="8" t="s">
        <v>121</v>
      </c>
      <c r="G77" s="10" t="s">
        <v>122</v>
      </c>
      <c r="H77" s="8"/>
      <c r="I77" s="8" t="s">
        <v>82</v>
      </c>
      <c r="J77" s="8" t="s">
        <v>83</v>
      </c>
      <c r="K77" s="8" t="s">
        <v>84</v>
      </c>
      <c r="L77" s="8"/>
      <c r="M77" s="8" t="s">
        <v>86</v>
      </c>
      <c r="N77" s="8"/>
      <c r="O77" s="8" t="s">
        <v>87</v>
      </c>
      <c r="P77" s="8" t="s">
        <v>151</v>
      </c>
      <c r="Q77" s="8" t="s">
        <v>97</v>
      </c>
      <c r="R77" s="8" t="s">
        <v>117</v>
      </c>
      <c r="S77" s="8" t="s">
        <v>99</v>
      </c>
      <c r="T77" s="8" t="s">
        <v>510</v>
      </c>
    </row>
    <row r="78" customFormat="false" ht="15" hidden="false" customHeight="false" outlineLevel="0" collapsed="false">
      <c r="A78" s="8" t="s">
        <v>511</v>
      </c>
      <c r="B78" s="8" t="s">
        <v>128</v>
      </c>
      <c r="C78" s="8" t="s">
        <v>77</v>
      </c>
      <c r="D78" s="8" t="s">
        <v>509</v>
      </c>
      <c r="E78" s="9" t="n">
        <f aca="false">IF(C78="inhibition",-1,1)</f>
        <v>1</v>
      </c>
      <c r="F78" s="8" t="s">
        <v>512</v>
      </c>
      <c r="G78" s="8"/>
      <c r="H78" s="8"/>
      <c r="I78" s="8" t="s">
        <v>82</v>
      </c>
      <c r="J78" s="8" t="s">
        <v>83</v>
      </c>
      <c r="K78" s="8" t="s">
        <v>84</v>
      </c>
      <c r="L78" s="8"/>
      <c r="M78" s="8" t="s">
        <v>213</v>
      </c>
      <c r="N78" s="8"/>
      <c r="O78" s="8" t="s">
        <v>87</v>
      </c>
      <c r="P78" s="8" t="s">
        <v>151</v>
      </c>
      <c r="Q78" s="8" t="s">
        <v>97</v>
      </c>
      <c r="R78" s="8" t="s">
        <v>83</v>
      </c>
      <c r="S78" s="8" t="s">
        <v>108</v>
      </c>
      <c r="T78" s="8" t="s">
        <v>513</v>
      </c>
    </row>
    <row r="79" customFormat="false" ht="15" hidden="false" customHeight="false" outlineLevel="0" collapsed="false">
      <c r="A79" s="8" t="s">
        <v>514</v>
      </c>
      <c r="B79" s="8" t="s">
        <v>515</v>
      </c>
      <c r="C79" s="8" t="s">
        <v>77</v>
      </c>
      <c r="D79" s="8" t="s">
        <v>509</v>
      </c>
      <c r="E79" s="9" t="n">
        <f aca="false">IF(C79="inhibition",-1,1)</f>
        <v>1</v>
      </c>
      <c r="F79" s="8" t="s">
        <v>516</v>
      </c>
      <c r="G79" s="10" t="s">
        <v>517</v>
      </c>
      <c r="H79" s="8" t="s">
        <v>518</v>
      </c>
      <c r="I79" s="8" t="s">
        <v>158</v>
      </c>
      <c r="J79" s="8" t="s">
        <v>159</v>
      </c>
      <c r="K79" s="8" t="s">
        <v>160</v>
      </c>
      <c r="L79" s="8"/>
      <c r="M79" s="8" t="s">
        <v>86</v>
      </c>
      <c r="N79" s="8"/>
      <c r="O79" s="8" t="s">
        <v>87</v>
      </c>
      <c r="P79" s="8" t="s">
        <v>151</v>
      </c>
      <c r="Q79" s="8" t="s">
        <v>160</v>
      </c>
      <c r="R79" s="8" t="s">
        <v>160</v>
      </c>
      <c r="S79" s="8" t="s">
        <v>160</v>
      </c>
      <c r="T79" s="8" t="s">
        <v>519</v>
      </c>
    </row>
    <row r="80" customFormat="false" ht="15" hidden="false" customHeight="false" outlineLevel="0" collapsed="false">
      <c r="A80" s="8" t="s">
        <v>520</v>
      </c>
      <c r="B80" s="8" t="s">
        <v>366</v>
      </c>
      <c r="C80" s="8" t="s">
        <v>77</v>
      </c>
      <c r="D80" s="8" t="s">
        <v>210</v>
      </c>
      <c r="E80" s="9" t="n">
        <f aca="false">IF(C80="inhibition",-1,1)</f>
        <v>1</v>
      </c>
      <c r="F80" s="8" t="s">
        <v>521</v>
      </c>
      <c r="G80" s="10" t="s">
        <v>522</v>
      </c>
      <c r="H80" s="8" t="s">
        <v>523</v>
      </c>
      <c r="I80" s="8" t="s">
        <v>158</v>
      </c>
      <c r="J80" s="8" t="s">
        <v>159</v>
      </c>
      <c r="K80" s="8" t="s">
        <v>160</v>
      </c>
      <c r="L80" s="8"/>
      <c r="M80" s="8" t="s">
        <v>86</v>
      </c>
      <c r="N80" s="8"/>
      <c r="O80" s="8" t="s">
        <v>183</v>
      </c>
      <c r="P80" s="8" t="s">
        <v>87</v>
      </c>
      <c r="Q80" s="8" t="s">
        <v>215</v>
      </c>
      <c r="R80" s="8" t="s">
        <v>160</v>
      </c>
      <c r="S80" s="8" t="s">
        <v>160</v>
      </c>
      <c r="T80" s="8" t="s">
        <v>524</v>
      </c>
    </row>
    <row r="81" customFormat="false" ht="15" hidden="false" customHeight="false" outlineLevel="0" collapsed="false">
      <c r="A81" s="8" t="s">
        <v>525</v>
      </c>
      <c r="B81" s="8" t="s">
        <v>218</v>
      </c>
      <c r="C81" s="8" t="s">
        <v>77</v>
      </c>
      <c r="D81" s="8" t="s">
        <v>210</v>
      </c>
      <c r="E81" s="9" t="n">
        <f aca="false">IF(C81="inhibition",-1,1)</f>
        <v>1</v>
      </c>
      <c r="F81" s="8" t="s">
        <v>526</v>
      </c>
      <c r="G81" s="10" t="s">
        <v>527</v>
      </c>
      <c r="H81" s="8" t="s">
        <v>528</v>
      </c>
      <c r="I81" s="8" t="s">
        <v>82</v>
      </c>
      <c r="J81" s="8" t="s">
        <v>83</v>
      </c>
      <c r="K81" s="8" t="s">
        <v>84</v>
      </c>
      <c r="L81" s="8"/>
      <c r="M81" s="8" t="s">
        <v>86</v>
      </c>
      <c r="N81" s="8"/>
      <c r="O81" s="8" t="s">
        <v>124</v>
      </c>
      <c r="P81" s="8" t="s">
        <v>87</v>
      </c>
      <c r="Q81" s="8" t="s">
        <v>97</v>
      </c>
      <c r="R81" s="8" t="s">
        <v>117</v>
      </c>
      <c r="S81" s="8" t="s">
        <v>99</v>
      </c>
      <c r="T81" s="8" t="s">
        <v>529</v>
      </c>
    </row>
    <row r="82" customFormat="false" ht="15" hidden="false" customHeight="false" outlineLevel="0" collapsed="false">
      <c r="A82" s="8" t="s">
        <v>530</v>
      </c>
      <c r="B82" s="8" t="s">
        <v>531</v>
      </c>
      <c r="C82" s="8" t="s">
        <v>77</v>
      </c>
      <c r="D82" s="8" t="s">
        <v>210</v>
      </c>
      <c r="E82" s="9" t="n">
        <f aca="false">IF(C82="inhibition",-1,1)</f>
        <v>1</v>
      </c>
      <c r="F82" s="8" t="s">
        <v>526</v>
      </c>
      <c r="G82" s="10" t="s">
        <v>527</v>
      </c>
      <c r="H82" s="8" t="s">
        <v>528</v>
      </c>
      <c r="I82" s="8" t="s">
        <v>82</v>
      </c>
      <c r="J82" s="8" t="s">
        <v>83</v>
      </c>
      <c r="K82" s="8" t="s">
        <v>84</v>
      </c>
      <c r="L82" s="8"/>
      <c r="M82" s="8" t="s">
        <v>86</v>
      </c>
      <c r="N82" s="8"/>
      <c r="O82" s="8" t="s">
        <v>124</v>
      </c>
      <c r="P82" s="8" t="s">
        <v>87</v>
      </c>
      <c r="Q82" s="8" t="s">
        <v>97</v>
      </c>
      <c r="R82" s="8" t="s">
        <v>117</v>
      </c>
      <c r="S82" s="8" t="s">
        <v>99</v>
      </c>
      <c r="T82" s="8" t="s">
        <v>529</v>
      </c>
    </row>
    <row r="83" customFormat="false" ht="15" hidden="false" customHeight="false" outlineLevel="0" collapsed="false">
      <c r="A83" s="8" t="s">
        <v>532</v>
      </c>
      <c r="B83" s="8" t="s">
        <v>533</v>
      </c>
      <c r="C83" s="8" t="s">
        <v>77</v>
      </c>
      <c r="D83" s="8" t="s">
        <v>210</v>
      </c>
      <c r="E83" s="9" t="n">
        <f aca="false">IF(C83="inhibition",-1,1)</f>
        <v>1</v>
      </c>
      <c r="F83" s="8" t="s">
        <v>534</v>
      </c>
      <c r="G83" s="10" t="s">
        <v>535</v>
      </c>
      <c r="H83" s="8" t="s">
        <v>536</v>
      </c>
      <c r="I83" s="8" t="s">
        <v>158</v>
      </c>
      <c r="J83" s="8" t="s">
        <v>159</v>
      </c>
      <c r="K83" s="8" t="s">
        <v>160</v>
      </c>
      <c r="L83" s="8"/>
      <c r="M83" s="8" t="s">
        <v>86</v>
      </c>
      <c r="N83" s="8"/>
      <c r="O83" s="8" t="s">
        <v>124</v>
      </c>
      <c r="P83" s="8" t="s">
        <v>87</v>
      </c>
      <c r="Q83" s="8" t="s">
        <v>326</v>
      </c>
      <c r="R83" s="8" t="s">
        <v>160</v>
      </c>
      <c r="S83" s="8" t="s">
        <v>160</v>
      </c>
      <c r="T83" s="8" t="s">
        <v>537</v>
      </c>
    </row>
    <row r="84" customFormat="false" ht="15" hidden="false" customHeight="false" outlineLevel="0" collapsed="false">
      <c r="A84" s="8" t="s">
        <v>538</v>
      </c>
      <c r="B84" s="8" t="s">
        <v>539</v>
      </c>
      <c r="C84" s="8" t="s">
        <v>144</v>
      </c>
      <c r="D84" s="8" t="s">
        <v>210</v>
      </c>
      <c r="E84" s="9" t="n">
        <f aca="false">IF(C84="inhibition",-1,1)</f>
        <v>-1</v>
      </c>
      <c r="F84" s="8" t="s">
        <v>540</v>
      </c>
      <c r="G84" s="10" t="s">
        <v>541</v>
      </c>
      <c r="H84" s="8" t="s">
        <v>542</v>
      </c>
      <c r="I84" s="8" t="s">
        <v>158</v>
      </c>
      <c r="J84" s="8" t="s">
        <v>159</v>
      </c>
      <c r="K84" s="8" t="s">
        <v>160</v>
      </c>
      <c r="L84" s="8"/>
      <c r="M84" s="8" t="s">
        <v>86</v>
      </c>
      <c r="N84" s="8"/>
      <c r="O84" s="8" t="s">
        <v>151</v>
      </c>
      <c r="P84" s="8" t="s">
        <v>87</v>
      </c>
      <c r="Q84" s="8" t="s">
        <v>160</v>
      </c>
      <c r="R84" s="8" t="s">
        <v>160</v>
      </c>
      <c r="S84" s="8" t="s">
        <v>160</v>
      </c>
      <c r="T84" s="8" t="s">
        <v>543</v>
      </c>
    </row>
    <row r="85" customFormat="false" ht="15" hidden="false" customHeight="false" outlineLevel="0" collapsed="false">
      <c r="A85" s="8" t="s">
        <v>544</v>
      </c>
      <c r="B85" s="8" t="s">
        <v>219</v>
      </c>
      <c r="C85" s="8" t="s">
        <v>77</v>
      </c>
      <c r="D85" s="8" t="s">
        <v>545</v>
      </c>
      <c r="E85" s="9" t="n">
        <f aca="false">IF(C85="inhibition",-1,1)</f>
        <v>1</v>
      </c>
      <c r="F85" s="8" t="s">
        <v>546</v>
      </c>
      <c r="G85" s="10" t="s">
        <v>547</v>
      </c>
      <c r="H85" s="8" t="s">
        <v>548</v>
      </c>
      <c r="I85" s="8" t="s">
        <v>158</v>
      </c>
      <c r="J85" s="8" t="s">
        <v>159</v>
      </c>
      <c r="K85" s="8" t="s">
        <v>160</v>
      </c>
      <c r="L85" s="8"/>
      <c r="M85" s="8" t="s">
        <v>549</v>
      </c>
      <c r="N85" s="8"/>
      <c r="O85" s="8" t="s">
        <v>87</v>
      </c>
      <c r="P85" s="8" t="s">
        <v>116</v>
      </c>
      <c r="Q85" s="8" t="s">
        <v>215</v>
      </c>
      <c r="R85" s="8" t="s">
        <v>160</v>
      </c>
      <c r="S85" s="8" t="s">
        <v>160</v>
      </c>
      <c r="T85" s="8" t="s">
        <v>550</v>
      </c>
    </row>
    <row r="86" customFormat="false" ht="15" hidden="false" customHeight="false" outlineLevel="0" collapsed="false">
      <c r="A86" s="8" t="s">
        <v>551</v>
      </c>
      <c r="B86" s="8" t="s">
        <v>128</v>
      </c>
      <c r="C86" s="8" t="s">
        <v>77</v>
      </c>
      <c r="D86" s="8" t="s">
        <v>545</v>
      </c>
      <c r="E86" s="9" t="n">
        <f aca="false">IF(C86="inhibition",-1,1)</f>
        <v>1</v>
      </c>
      <c r="F86" s="8" t="s">
        <v>316</v>
      </c>
      <c r="G86" s="10" t="s">
        <v>317</v>
      </c>
      <c r="H86" s="8" t="s">
        <v>318</v>
      </c>
      <c r="I86" s="8" t="s">
        <v>138</v>
      </c>
      <c r="J86" s="8" t="s">
        <v>83</v>
      </c>
      <c r="K86" s="8" t="s">
        <v>236</v>
      </c>
      <c r="L86" s="8"/>
      <c r="M86" s="8" t="s">
        <v>86</v>
      </c>
      <c r="N86" s="8"/>
      <c r="O86" s="8" t="s">
        <v>87</v>
      </c>
      <c r="P86" s="8" t="s">
        <v>116</v>
      </c>
      <c r="Q86" s="8" t="s">
        <v>190</v>
      </c>
      <c r="R86" s="8" t="s">
        <v>117</v>
      </c>
      <c r="S86" s="8" t="s">
        <v>319</v>
      </c>
      <c r="T86" s="8" t="s">
        <v>320</v>
      </c>
    </row>
    <row r="87" customFormat="false" ht="15" hidden="false" customHeight="false" outlineLevel="0" collapsed="false">
      <c r="A87" s="8" t="s">
        <v>552</v>
      </c>
      <c r="B87" s="8" t="s">
        <v>219</v>
      </c>
      <c r="C87" s="8" t="s">
        <v>77</v>
      </c>
      <c r="D87" s="8" t="s">
        <v>553</v>
      </c>
      <c r="E87" s="9" t="n">
        <f aca="false">IF(C87="inhibition",-1,1)</f>
        <v>1</v>
      </c>
      <c r="F87" s="8" t="s">
        <v>546</v>
      </c>
      <c r="G87" s="10" t="s">
        <v>547</v>
      </c>
      <c r="H87" s="8" t="s">
        <v>548</v>
      </c>
      <c r="I87" s="8" t="s">
        <v>158</v>
      </c>
      <c r="J87" s="8" t="s">
        <v>159</v>
      </c>
      <c r="K87" s="8" t="s">
        <v>160</v>
      </c>
      <c r="L87" s="8"/>
      <c r="M87" s="8" t="s">
        <v>549</v>
      </c>
      <c r="N87" s="8"/>
      <c r="O87" s="8" t="s">
        <v>87</v>
      </c>
      <c r="P87" s="8" t="s">
        <v>116</v>
      </c>
      <c r="Q87" s="8" t="s">
        <v>215</v>
      </c>
      <c r="R87" s="8" t="s">
        <v>160</v>
      </c>
      <c r="S87" s="8" t="s">
        <v>160</v>
      </c>
      <c r="T87" s="8" t="s">
        <v>550</v>
      </c>
    </row>
    <row r="88" customFormat="false" ht="15" hidden="false" customHeight="false" outlineLevel="0" collapsed="false">
      <c r="A88" s="8" t="s">
        <v>554</v>
      </c>
      <c r="B88" s="8" t="s">
        <v>128</v>
      </c>
      <c r="C88" s="8" t="s">
        <v>77</v>
      </c>
      <c r="D88" s="8" t="s">
        <v>553</v>
      </c>
      <c r="E88" s="9" t="n">
        <f aca="false">IF(C88="inhibition",-1,1)</f>
        <v>1</v>
      </c>
      <c r="F88" s="8" t="s">
        <v>316</v>
      </c>
      <c r="G88" s="10" t="s">
        <v>317</v>
      </c>
      <c r="H88" s="8" t="s">
        <v>318</v>
      </c>
      <c r="I88" s="8" t="s">
        <v>138</v>
      </c>
      <c r="J88" s="8" t="s">
        <v>83</v>
      </c>
      <c r="K88" s="8" t="s">
        <v>236</v>
      </c>
      <c r="L88" s="8"/>
      <c r="M88" s="8" t="s">
        <v>86</v>
      </c>
      <c r="N88" s="8"/>
      <c r="O88" s="8" t="s">
        <v>87</v>
      </c>
      <c r="P88" s="8" t="s">
        <v>116</v>
      </c>
      <c r="Q88" s="8" t="s">
        <v>190</v>
      </c>
      <c r="R88" s="8" t="s">
        <v>117</v>
      </c>
      <c r="S88" s="8" t="s">
        <v>319</v>
      </c>
      <c r="T88" s="8" t="s">
        <v>320</v>
      </c>
    </row>
    <row r="89" customFormat="false" ht="15" hidden="false" customHeight="false" outlineLevel="0" collapsed="false">
      <c r="A89" s="8" t="s">
        <v>555</v>
      </c>
      <c r="B89" s="8" t="s">
        <v>556</v>
      </c>
      <c r="C89" s="8" t="s">
        <v>77</v>
      </c>
      <c r="D89" s="8" t="s">
        <v>557</v>
      </c>
      <c r="E89" s="9" t="n">
        <f aca="false">IF(C89="inhibition",-1,1)</f>
        <v>1</v>
      </c>
      <c r="F89" s="8" t="s">
        <v>558</v>
      </c>
      <c r="G89" s="10" t="s">
        <v>559</v>
      </c>
      <c r="H89" s="8" t="s">
        <v>560</v>
      </c>
      <c r="I89" s="8" t="s">
        <v>158</v>
      </c>
      <c r="J89" s="8" t="s">
        <v>159</v>
      </c>
      <c r="K89" s="8" t="s">
        <v>160</v>
      </c>
      <c r="L89" s="8"/>
      <c r="M89" s="8" t="s">
        <v>86</v>
      </c>
      <c r="N89" s="8"/>
      <c r="O89" s="8" t="s">
        <v>183</v>
      </c>
      <c r="P89" s="8" t="s">
        <v>214</v>
      </c>
      <c r="Q89" s="8" t="s">
        <v>160</v>
      </c>
      <c r="R89" s="8" t="s">
        <v>160</v>
      </c>
      <c r="S89" s="8" t="s">
        <v>160</v>
      </c>
      <c r="T89" s="8" t="s">
        <v>561</v>
      </c>
    </row>
    <row r="90" customFormat="false" ht="15" hidden="false" customHeight="false" outlineLevel="0" collapsed="false">
      <c r="A90" s="8" t="s">
        <v>562</v>
      </c>
      <c r="B90" s="8" t="s">
        <v>371</v>
      </c>
      <c r="C90" s="8" t="s">
        <v>77</v>
      </c>
      <c r="D90" s="8" t="s">
        <v>563</v>
      </c>
      <c r="E90" s="9" t="n">
        <f aca="false">IF(C90="inhibition",-1,1)</f>
        <v>1</v>
      </c>
      <c r="F90" s="8" t="s">
        <v>564</v>
      </c>
      <c r="G90" s="10" t="s">
        <v>565</v>
      </c>
      <c r="H90" s="8" t="s">
        <v>566</v>
      </c>
      <c r="I90" s="8" t="s">
        <v>158</v>
      </c>
      <c r="J90" s="8" t="s">
        <v>159</v>
      </c>
      <c r="K90" s="8" t="s">
        <v>160</v>
      </c>
      <c r="L90" s="8"/>
      <c r="M90" s="8" t="s">
        <v>86</v>
      </c>
      <c r="N90" s="8"/>
      <c r="O90" s="8" t="s">
        <v>183</v>
      </c>
      <c r="P90" s="8" t="s">
        <v>285</v>
      </c>
      <c r="Q90" s="8" t="s">
        <v>215</v>
      </c>
      <c r="R90" s="8" t="s">
        <v>160</v>
      </c>
      <c r="S90" s="8" t="s">
        <v>160</v>
      </c>
      <c r="T90" s="8" t="s">
        <v>567</v>
      </c>
    </row>
    <row r="91" customFormat="false" ht="15" hidden="false" customHeight="false" outlineLevel="0" collapsed="false">
      <c r="A91" s="8" t="s">
        <v>568</v>
      </c>
      <c r="B91" s="8" t="s">
        <v>194</v>
      </c>
      <c r="C91" s="8" t="s">
        <v>77</v>
      </c>
      <c r="D91" s="8" t="s">
        <v>563</v>
      </c>
      <c r="E91" s="9" t="n">
        <f aca="false">IF(C91="inhibition",-1,1)</f>
        <v>1</v>
      </c>
      <c r="F91" s="8" t="s">
        <v>569</v>
      </c>
      <c r="G91" s="10" t="s">
        <v>570</v>
      </c>
      <c r="H91" s="8" t="s">
        <v>571</v>
      </c>
      <c r="I91" s="8" t="s">
        <v>82</v>
      </c>
      <c r="J91" s="8" t="s">
        <v>83</v>
      </c>
      <c r="K91" s="8" t="s">
        <v>236</v>
      </c>
      <c r="L91" s="8" t="s">
        <v>572</v>
      </c>
      <c r="M91" s="8" t="s">
        <v>86</v>
      </c>
      <c r="N91" s="8"/>
      <c r="O91" s="8" t="s">
        <v>199</v>
      </c>
      <c r="P91" s="8" t="s">
        <v>285</v>
      </c>
      <c r="Q91" s="8" t="s">
        <v>89</v>
      </c>
      <c r="R91" s="8" t="s">
        <v>573</v>
      </c>
      <c r="S91" s="8" t="s">
        <v>574</v>
      </c>
      <c r="T91" s="8" t="s">
        <v>575</v>
      </c>
    </row>
    <row r="92" customFormat="false" ht="15" hidden="false" customHeight="false" outlineLevel="0" collapsed="false">
      <c r="A92" s="8" t="s">
        <v>576</v>
      </c>
      <c r="B92" s="8" t="s">
        <v>218</v>
      </c>
      <c r="C92" s="8" t="s">
        <v>77</v>
      </c>
      <c r="D92" s="8" t="s">
        <v>577</v>
      </c>
      <c r="E92" s="9" t="n">
        <f aca="false">IF(C92="inhibition",-1,1)</f>
        <v>1</v>
      </c>
      <c r="F92" s="8" t="s">
        <v>578</v>
      </c>
      <c r="G92" s="10" t="s">
        <v>579</v>
      </c>
      <c r="H92" s="8" t="s">
        <v>580</v>
      </c>
      <c r="I92" s="8" t="s">
        <v>82</v>
      </c>
      <c r="J92" s="8" t="s">
        <v>106</v>
      </c>
      <c r="K92" s="8" t="s">
        <v>84</v>
      </c>
      <c r="L92" s="8"/>
      <c r="M92" s="8" t="s">
        <v>86</v>
      </c>
      <c r="N92" s="8" t="s">
        <v>581</v>
      </c>
      <c r="O92" s="8" t="s">
        <v>124</v>
      </c>
      <c r="P92" s="8" t="s">
        <v>87</v>
      </c>
      <c r="Q92" s="8" t="s">
        <v>97</v>
      </c>
      <c r="R92" s="8" t="s">
        <v>107</v>
      </c>
      <c r="S92" s="8" t="s">
        <v>99</v>
      </c>
      <c r="T92" s="8" t="s">
        <v>582</v>
      </c>
    </row>
    <row r="93" customFormat="false" ht="15" hidden="false" customHeight="false" outlineLevel="0" collapsed="false">
      <c r="A93" s="8" t="s">
        <v>583</v>
      </c>
      <c r="B93" s="8" t="s">
        <v>584</v>
      </c>
      <c r="C93" s="8" t="s">
        <v>77</v>
      </c>
      <c r="D93" s="8" t="s">
        <v>577</v>
      </c>
      <c r="E93" s="9" t="n">
        <f aca="false">IF(C93="inhibition",-1,1)</f>
        <v>1</v>
      </c>
      <c r="F93" s="8" t="s">
        <v>585</v>
      </c>
      <c r="G93" s="10" t="s">
        <v>586</v>
      </c>
      <c r="H93" s="8" t="s">
        <v>587</v>
      </c>
      <c r="I93" s="8" t="s">
        <v>158</v>
      </c>
      <c r="J93" s="8" t="s">
        <v>159</v>
      </c>
      <c r="K93" s="8" t="s">
        <v>84</v>
      </c>
      <c r="L93" s="8" t="s">
        <v>588</v>
      </c>
      <c r="M93" s="8" t="s">
        <v>86</v>
      </c>
      <c r="N93" s="8"/>
      <c r="O93" s="8" t="s">
        <v>214</v>
      </c>
      <c r="P93" s="8" t="s">
        <v>87</v>
      </c>
      <c r="Q93" s="8" t="s">
        <v>589</v>
      </c>
      <c r="R93" s="8" t="s">
        <v>590</v>
      </c>
      <c r="S93" s="8" t="s">
        <v>84</v>
      </c>
      <c r="T93" s="8" t="s">
        <v>591</v>
      </c>
    </row>
    <row r="94" customFormat="false" ht="15" hidden="false" customHeight="false" outlineLevel="0" collapsed="false">
      <c r="A94" s="8" t="s">
        <v>592</v>
      </c>
      <c r="B94" s="8" t="s">
        <v>593</v>
      </c>
      <c r="C94" s="8" t="s">
        <v>77</v>
      </c>
      <c r="D94" s="8" t="s">
        <v>218</v>
      </c>
      <c r="E94" s="9" t="n">
        <f aca="false">IF(C94="inhibition",-1,1)</f>
        <v>1</v>
      </c>
      <c r="F94" s="8" t="s">
        <v>594</v>
      </c>
      <c r="G94" s="10" t="s">
        <v>595</v>
      </c>
      <c r="H94" s="8" t="s">
        <v>596</v>
      </c>
      <c r="I94" s="8" t="s">
        <v>82</v>
      </c>
      <c r="J94" s="8" t="s">
        <v>106</v>
      </c>
      <c r="K94" s="8" t="s">
        <v>84</v>
      </c>
      <c r="L94" s="8"/>
      <c r="M94" s="8" t="s">
        <v>86</v>
      </c>
      <c r="N94" s="8"/>
      <c r="O94" s="8" t="s">
        <v>124</v>
      </c>
      <c r="P94" s="8" t="s">
        <v>124</v>
      </c>
      <c r="Q94" s="8" t="s">
        <v>97</v>
      </c>
      <c r="R94" s="8" t="s">
        <v>107</v>
      </c>
      <c r="S94" s="8" t="s">
        <v>99</v>
      </c>
      <c r="T94" s="8" t="s">
        <v>597</v>
      </c>
    </row>
    <row r="95" customFormat="false" ht="15" hidden="false" customHeight="false" outlineLevel="0" collapsed="false">
      <c r="A95" s="8" t="s">
        <v>598</v>
      </c>
      <c r="B95" s="8" t="s">
        <v>599</v>
      </c>
      <c r="C95" s="8" t="s">
        <v>77</v>
      </c>
      <c r="D95" s="8" t="s">
        <v>531</v>
      </c>
      <c r="E95" s="9" t="n">
        <f aca="false">IF(C95="inhibition",-1,1)</f>
        <v>1</v>
      </c>
      <c r="F95" s="8" t="s">
        <v>594</v>
      </c>
      <c r="G95" s="10" t="s">
        <v>595</v>
      </c>
      <c r="H95" s="8" t="s">
        <v>596</v>
      </c>
      <c r="I95" s="8" t="s">
        <v>82</v>
      </c>
      <c r="J95" s="8" t="s">
        <v>106</v>
      </c>
      <c r="K95" s="8" t="s">
        <v>84</v>
      </c>
      <c r="L95" s="8"/>
      <c r="M95" s="8" t="s">
        <v>86</v>
      </c>
      <c r="N95" s="8"/>
      <c r="O95" s="8" t="s">
        <v>124</v>
      </c>
      <c r="P95" s="8" t="s">
        <v>124</v>
      </c>
      <c r="Q95" s="8" t="s">
        <v>97</v>
      </c>
      <c r="R95" s="8" t="s">
        <v>107</v>
      </c>
      <c r="S95" s="8" t="s">
        <v>99</v>
      </c>
      <c r="T95" s="8" t="s">
        <v>597</v>
      </c>
    </row>
    <row r="96" customFormat="false" ht="15" hidden="false" customHeight="false" outlineLevel="0" collapsed="false">
      <c r="A96" s="8" t="s">
        <v>600</v>
      </c>
      <c r="B96" s="8" t="s">
        <v>601</v>
      </c>
      <c r="C96" s="8" t="s">
        <v>77</v>
      </c>
      <c r="D96" s="8" t="s">
        <v>602</v>
      </c>
      <c r="E96" s="9" t="n">
        <f aca="false">IF(C96="inhibition",-1,1)</f>
        <v>1</v>
      </c>
      <c r="F96" s="8" t="s">
        <v>603</v>
      </c>
      <c r="G96" s="10" t="s">
        <v>604</v>
      </c>
      <c r="H96" s="8" t="s">
        <v>605</v>
      </c>
      <c r="I96" s="8" t="s">
        <v>158</v>
      </c>
      <c r="J96" s="8" t="s">
        <v>159</v>
      </c>
      <c r="K96" s="8" t="s">
        <v>160</v>
      </c>
      <c r="L96" s="8"/>
      <c r="M96" s="8" t="s">
        <v>86</v>
      </c>
      <c r="N96" s="8"/>
      <c r="O96" s="8" t="s">
        <v>345</v>
      </c>
      <c r="P96" s="8" t="s">
        <v>443</v>
      </c>
      <c r="Q96" s="8" t="s">
        <v>160</v>
      </c>
      <c r="R96" s="8" t="s">
        <v>160</v>
      </c>
      <c r="S96" s="8" t="s">
        <v>160</v>
      </c>
      <c r="T96" s="8" t="s">
        <v>606</v>
      </c>
    </row>
    <row r="97" customFormat="false" ht="15" hidden="false" customHeight="false" outlineLevel="0" collapsed="false">
      <c r="A97" s="8" t="s">
        <v>607</v>
      </c>
      <c r="B97" s="8" t="s">
        <v>608</v>
      </c>
      <c r="C97" s="8" t="s">
        <v>77</v>
      </c>
      <c r="D97" s="8" t="s">
        <v>602</v>
      </c>
      <c r="E97" s="9" t="n">
        <f aca="false">IF(C97="inhibition",-1,1)</f>
        <v>1</v>
      </c>
      <c r="F97" s="8" t="s">
        <v>609</v>
      </c>
      <c r="G97" s="10" t="s">
        <v>610</v>
      </c>
      <c r="H97" s="8"/>
      <c r="I97" s="8" t="s">
        <v>158</v>
      </c>
      <c r="J97" s="8" t="s">
        <v>159</v>
      </c>
      <c r="K97" s="8" t="s">
        <v>160</v>
      </c>
      <c r="L97" s="8"/>
      <c r="M97" s="8" t="s">
        <v>86</v>
      </c>
      <c r="N97" s="8"/>
      <c r="O97" s="8" t="s">
        <v>345</v>
      </c>
      <c r="P97" s="8" t="s">
        <v>443</v>
      </c>
      <c r="Q97" s="8" t="s">
        <v>215</v>
      </c>
      <c r="R97" s="8" t="s">
        <v>160</v>
      </c>
      <c r="S97" s="8" t="s">
        <v>160</v>
      </c>
      <c r="T97" s="8" t="s">
        <v>611</v>
      </c>
    </row>
    <row r="98" customFormat="false" ht="15" hidden="false" customHeight="false" outlineLevel="0" collapsed="false">
      <c r="A98" s="8" t="s">
        <v>612</v>
      </c>
      <c r="B98" s="8" t="s">
        <v>613</v>
      </c>
      <c r="C98" s="8" t="s">
        <v>77</v>
      </c>
      <c r="D98" s="8" t="s">
        <v>602</v>
      </c>
      <c r="E98" s="9" t="n">
        <f aca="false">IF(C98="inhibition",-1,1)</f>
        <v>1</v>
      </c>
      <c r="F98" s="8" t="s">
        <v>614</v>
      </c>
      <c r="G98" s="10" t="s">
        <v>615</v>
      </c>
      <c r="H98" s="8" t="s">
        <v>616</v>
      </c>
      <c r="I98" s="8" t="s">
        <v>158</v>
      </c>
      <c r="J98" s="8" t="s">
        <v>159</v>
      </c>
      <c r="K98" s="8" t="s">
        <v>160</v>
      </c>
      <c r="L98" s="8"/>
      <c r="M98" s="8" t="s">
        <v>86</v>
      </c>
      <c r="N98" s="8"/>
      <c r="O98" s="8" t="s">
        <v>345</v>
      </c>
      <c r="P98" s="8" t="s">
        <v>443</v>
      </c>
      <c r="Q98" s="8" t="s">
        <v>617</v>
      </c>
      <c r="R98" s="8" t="s">
        <v>160</v>
      </c>
      <c r="S98" s="8" t="s">
        <v>160</v>
      </c>
      <c r="T98" s="8" t="s">
        <v>618</v>
      </c>
    </row>
    <row r="99" customFormat="false" ht="15" hidden="false" customHeight="false" outlineLevel="0" collapsed="false">
      <c r="A99" s="8" t="s">
        <v>619</v>
      </c>
      <c r="B99" s="8" t="s">
        <v>620</v>
      </c>
      <c r="C99" s="8" t="s">
        <v>77</v>
      </c>
      <c r="D99" s="8" t="s">
        <v>438</v>
      </c>
      <c r="E99" s="9" t="n">
        <f aca="false">IF(C99="inhibition",-1,1)</f>
        <v>1</v>
      </c>
      <c r="F99" s="8" t="s">
        <v>603</v>
      </c>
      <c r="G99" s="10" t="s">
        <v>604</v>
      </c>
      <c r="H99" s="8" t="s">
        <v>605</v>
      </c>
      <c r="I99" s="8" t="s">
        <v>158</v>
      </c>
      <c r="J99" s="8" t="s">
        <v>159</v>
      </c>
      <c r="K99" s="8" t="s">
        <v>160</v>
      </c>
      <c r="L99" s="8"/>
      <c r="M99" s="8" t="s">
        <v>86</v>
      </c>
      <c r="N99" s="8"/>
      <c r="O99" s="8" t="s">
        <v>345</v>
      </c>
      <c r="P99" s="8" t="s">
        <v>443</v>
      </c>
      <c r="Q99" s="8" t="s">
        <v>160</v>
      </c>
      <c r="R99" s="8" t="s">
        <v>160</v>
      </c>
      <c r="S99" s="8" t="s">
        <v>160</v>
      </c>
      <c r="T99" s="8" t="s">
        <v>606</v>
      </c>
    </row>
    <row r="100" customFormat="false" ht="15" hidden="false" customHeight="false" outlineLevel="0" collapsed="false">
      <c r="A100" s="8" t="s">
        <v>621</v>
      </c>
      <c r="B100" s="8" t="s">
        <v>622</v>
      </c>
      <c r="C100" s="8" t="s">
        <v>77</v>
      </c>
      <c r="D100" s="8" t="s">
        <v>438</v>
      </c>
      <c r="E100" s="9" t="n">
        <f aca="false">IF(C100="inhibition",-1,1)</f>
        <v>1</v>
      </c>
      <c r="F100" s="8" t="s">
        <v>609</v>
      </c>
      <c r="G100" s="10" t="s">
        <v>610</v>
      </c>
      <c r="H100" s="8"/>
      <c r="I100" s="8" t="s">
        <v>158</v>
      </c>
      <c r="J100" s="8" t="s">
        <v>159</v>
      </c>
      <c r="K100" s="8" t="s">
        <v>160</v>
      </c>
      <c r="L100" s="8"/>
      <c r="M100" s="8" t="s">
        <v>86</v>
      </c>
      <c r="N100" s="8"/>
      <c r="O100" s="8" t="s">
        <v>345</v>
      </c>
      <c r="P100" s="8" t="s">
        <v>443</v>
      </c>
      <c r="Q100" s="8" t="s">
        <v>215</v>
      </c>
      <c r="R100" s="8" t="s">
        <v>160</v>
      </c>
      <c r="S100" s="8" t="s">
        <v>160</v>
      </c>
      <c r="T100" s="8" t="s">
        <v>611</v>
      </c>
    </row>
    <row r="101" customFormat="false" ht="15" hidden="false" customHeight="false" outlineLevel="0" collapsed="false">
      <c r="A101" s="8" t="s">
        <v>623</v>
      </c>
      <c r="B101" s="8" t="s">
        <v>624</v>
      </c>
      <c r="C101" s="8" t="s">
        <v>77</v>
      </c>
      <c r="D101" s="8" t="s">
        <v>438</v>
      </c>
      <c r="E101" s="9" t="n">
        <f aca="false">IF(C101="inhibition",-1,1)</f>
        <v>1</v>
      </c>
      <c r="F101" s="8" t="s">
        <v>625</v>
      </c>
      <c r="G101" s="8"/>
      <c r="H101" s="8" t="s">
        <v>626</v>
      </c>
      <c r="I101" s="8" t="s">
        <v>158</v>
      </c>
      <c r="J101" s="8" t="s">
        <v>159</v>
      </c>
      <c r="K101" s="8" t="s">
        <v>160</v>
      </c>
      <c r="L101" s="8"/>
      <c r="M101" s="8" t="s">
        <v>213</v>
      </c>
      <c r="N101" s="8"/>
      <c r="O101" s="8" t="s">
        <v>345</v>
      </c>
      <c r="P101" s="8" t="s">
        <v>443</v>
      </c>
      <c r="Q101" s="8" t="s">
        <v>215</v>
      </c>
      <c r="R101" s="8" t="s">
        <v>160</v>
      </c>
      <c r="S101" s="8" t="s">
        <v>160</v>
      </c>
      <c r="T101" s="8" t="s">
        <v>627</v>
      </c>
    </row>
    <row r="102" customFormat="false" ht="15" hidden="false" customHeight="false" outlineLevel="0" collapsed="false">
      <c r="A102" s="8" t="s">
        <v>628</v>
      </c>
      <c r="B102" s="8" t="s">
        <v>322</v>
      </c>
      <c r="C102" s="8" t="s">
        <v>77</v>
      </c>
      <c r="D102" s="8" t="s">
        <v>629</v>
      </c>
      <c r="E102" s="9" t="n">
        <f aca="false">IF(C102="inhibition",-1,1)</f>
        <v>1</v>
      </c>
      <c r="F102" s="8" t="s">
        <v>630</v>
      </c>
      <c r="G102" s="10" t="s">
        <v>631</v>
      </c>
      <c r="H102" s="8" t="s">
        <v>632</v>
      </c>
      <c r="I102" s="8" t="s">
        <v>158</v>
      </c>
      <c r="J102" s="8" t="s">
        <v>106</v>
      </c>
      <c r="K102" s="8" t="s">
        <v>84</v>
      </c>
      <c r="L102" s="8"/>
      <c r="M102" s="8" t="s">
        <v>86</v>
      </c>
      <c r="N102" s="8"/>
      <c r="O102" s="8" t="s">
        <v>87</v>
      </c>
      <c r="P102" s="8" t="s">
        <v>311</v>
      </c>
      <c r="Q102" s="8" t="s">
        <v>633</v>
      </c>
      <c r="R102" s="8" t="s">
        <v>430</v>
      </c>
      <c r="S102" s="8" t="s">
        <v>99</v>
      </c>
      <c r="T102" s="8" t="s">
        <v>634</v>
      </c>
    </row>
    <row r="103" customFormat="false" ht="15" hidden="false" customHeight="false" outlineLevel="0" collapsed="false">
      <c r="A103" s="8" t="s">
        <v>635</v>
      </c>
      <c r="B103" s="8" t="s">
        <v>102</v>
      </c>
      <c r="C103" s="8" t="s">
        <v>77</v>
      </c>
      <c r="D103" s="8" t="s">
        <v>629</v>
      </c>
      <c r="E103" s="9" t="n">
        <f aca="false">IF(C103="inhibition",-1,1)</f>
        <v>1</v>
      </c>
      <c r="F103" s="8" t="s">
        <v>636</v>
      </c>
      <c r="G103" s="10" t="s">
        <v>637</v>
      </c>
      <c r="H103" s="8" t="s">
        <v>638</v>
      </c>
      <c r="I103" s="8" t="s">
        <v>158</v>
      </c>
      <c r="J103" s="8" t="s">
        <v>159</v>
      </c>
      <c r="K103" s="8" t="s">
        <v>160</v>
      </c>
      <c r="L103" s="8"/>
      <c r="M103" s="8" t="s">
        <v>86</v>
      </c>
      <c r="N103" s="8"/>
      <c r="O103" s="8" t="s">
        <v>87</v>
      </c>
      <c r="P103" s="8" t="s">
        <v>311</v>
      </c>
      <c r="Q103" s="8" t="s">
        <v>215</v>
      </c>
      <c r="R103" s="8" t="s">
        <v>160</v>
      </c>
      <c r="S103" s="8" t="s">
        <v>160</v>
      </c>
      <c r="T103" s="8" t="s">
        <v>639</v>
      </c>
    </row>
    <row r="104" customFormat="false" ht="15" hidden="false" customHeight="false" outlineLevel="0" collapsed="false">
      <c r="A104" s="8" t="s">
        <v>640</v>
      </c>
      <c r="B104" s="8" t="s">
        <v>433</v>
      </c>
      <c r="C104" s="8" t="s">
        <v>77</v>
      </c>
      <c r="D104" s="8" t="s">
        <v>629</v>
      </c>
      <c r="E104" s="9" t="n">
        <f aca="false">IF(C104="inhibition",-1,1)</f>
        <v>1</v>
      </c>
      <c r="F104" s="8" t="s">
        <v>641</v>
      </c>
      <c r="G104" s="10" t="s">
        <v>642</v>
      </c>
      <c r="H104" s="8" t="s">
        <v>643</v>
      </c>
      <c r="I104" s="8" t="s">
        <v>158</v>
      </c>
      <c r="J104" s="8" t="s">
        <v>159</v>
      </c>
      <c r="K104" s="8" t="s">
        <v>160</v>
      </c>
      <c r="L104" s="8"/>
      <c r="M104" s="8" t="s">
        <v>86</v>
      </c>
      <c r="N104" s="8"/>
      <c r="O104" s="8" t="s">
        <v>214</v>
      </c>
      <c r="P104" s="8" t="s">
        <v>311</v>
      </c>
      <c r="Q104" s="8" t="s">
        <v>215</v>
      </c>
      <c r="R104" s="8" t="s">
        <v>160</v>
      </c>
      <c r="S104" s="8" t="s">
        <v>160</v>
      </c>
      <c r="T104" s="8" t="s">
        <v>644</v>
      </c>
    </row>
    <row r="105" customFormat="false" ht="15" hidden="false" customHeight="false" outlineLevel="0" collapsed="false">
      <c r="A105" s="8" t="s">
        <v>645</v>
      </c>
      <c r="B105" s="8" t="s">
        <v>128</v>
      </c>
      <c r="C105" s="8" t="s">
        <v>144</v>
      </c>
      <c r="D105" s="8" t="s">
        <v>629</v>
      </c>
      <c r="E105" s="9" t="n">
        <f aca="false">IF(C105="inhibition",-1,1)</f>
        <v>-1</v>
      </c>
      <c r="F105" s="8" t="s">
        <v>646</v>
      </c>
      <c r="G105" s="8"/>
      <c r="H105" s="8" t="s">
        <v>647</v>
      </c>
      <c r="I105" s="8" t="s">
        <v>138</v>
      </c>
      <c r="J105" s="8" t="s">
        <v>83</v>
      </c>
      <c r="K105" s="8" t="s">
        <v>84</v>
      </c>
      <c r="L105" s="8"/>
      <c r="M105" s="8" t="s">
        <v>213</v>
      </c>
      <c r="N105" s="8"/>
      <c r="O105" s="8" t="s">
        <v>87</v>
      </c>
      <c r="P105" s="8" t="s">
        <v>311</v>
      </c>
      <c r="Q105" s="8" t="s">
        <v>190</v>
      </c>
      <c r="R105" s="8" t="s">
        <v>83</v>
      </c>
      <c r="S105" s="8" t="s">
        <v>99</v>
      </c>
      <c r="T105" s="8" t="s">
        <v>648</v>
      </c>
    </row>
    <row r="106" customFormat="false" ht="15" hidden="false" customHeight="false" outlineLevel="0" collapsed="false">
      <c r="A106" s="8" t="s">
        <v>649</v>
      </c>
      <c r="B106" s="8" t="s">
        <v>219</v>
      </c>
      <c r="C106" s="8" t="s">
        <v>77</v>
      </c>
      <c r="D106" s="8" t="s">
        <v>650</v>
      </c>
      <c r="E106" s="9" t="n">
        <f aca="false">IF(C106="inhibition",-1,1)</f>
        <v>1</v>
      </c>
      <c r="F106" s="8" t="s">
        <v>651</v>
      </c>
      <c r="G106" s="10" t="s">
        <v>652</v>
      </c>
      <c r="H106" s="8"/>
      <c r="I106" s="8" t="s">
        <v>158</v>
      </c>
      <c r="J106" s="8" t="s">
        <v>159</v>
      </c>
      <c r="K106" s="8" t="s">
        <v>160</v>
      </c>
      <c r="L106" s="8"/>
      <c r="M106" s="8" t="s">
        <v>86</v>
      </c>
      <c r="N106" s="8"/>
      <c r="O106" s="8" t="s">
        <v>87</v>
      </c>
      <c r="P106" s="8" t="s">
        <v>311</v>
      </c>
      <c r="Q106" s="8" t="s">
        <v>215</v>
      </c>
      <c r="R106" s="8" t="s">
        <v>160</v>
      </c>
      <c r="S106" s="8" t="s">
        <v>160</v>
      </c>
      <c r="T106" s="8" t="s">
        <v>653</v>
      </c>
    </row>
    <row r="107" customFormat="false" ht="15" hidden="false" customHeight="false" outlineLevel="0" collapsed="false">
      <c r="A107" s="8" t="s">
        <v>654</v>
      </c>
      <c r="B107" s="8" t="s">
        <v>76</v>
      </c>
      <c r="C107" s="8" t="s">
        <v>77</v>
      </c>
      <c r="D107" s="8" t="s">
        <v>650</v>
      </c>
      <c r="E107" s="9" t="n">
        <f aca="false">IF(C107="inhibition",-1,1)</f>
        <v>1</v>
      </c>
      <c r="F107" s="8" t="s">
        <v>655</v>
      </c>
      <c r="G107" s="10" t="s">
        <v>656</v>
      </c>
      <c r="H107" s="8" t="s">
        <v>657</v>
      </c>
      <c r="I107" s="8" t="s">
        <v>158</v>
      </c>
      <c r="J107" s="8" t="s">
        <v>83</v>
      </c>
      <c r="K107" s="8" t="s">
        <v>84</v>
      </c>
      <c r="L107" s="8"/>
      <c r="M107" s="8" t="s">
        <v>86</v>
      </c>
      <c r="N107" s="8"/>
      <c r="O107" s="8" t="s">
        <v>87</v>
      </c>
      <c r="P107" s="8" t="s">
        <v>311</v>
      </c>
      <c r="Q107" s="8" t="s">
        <v>658</v>
      </c>
      <c r="R107" s="8" t="s">
        <v>117</v>
      </c>
      <c r="S107" s="8" t="s">
        <v>99</v>
      </c>
      <c r="T107" s="8" t="s">
        <v>659</v>
      </c>
    </row>
    <row r="108" customFormat="false" ht="15" hidden="false" customHeight="false" outlineLevel="0" collapsed="false">
      <c r="A108" s="8" t="s">
        <v>660</v>
      </c>
      <c r="B108" s="8" t="s">
        <v>128</v>
      </c>
      <c r="C108" s="8" t="s">
        <v>77</v>
      </c>
      <c r="D108" s="8" t="s">
        <v>650</v>
      </c>
      <c r="E108" s="9" t="n">
        <f aca="false">IF(C108="inhibition",-1,1)</f>
        <v>1</v>
      </c>
      <c r="F108" s="8" t="s">
        <v>661</v>
      </c>
      <c r="G108" s="10" t="s">
        <v>662</v>
      </c>
      <c r="H108" s="8" t="s">
        <v>663</v>
      </c>
      <c r="I108" s="8" t="s">
        <v>138</v>
      </c>
      <c r="J108" s="8" t="s">
        <v>106</v>
      </c>
      <c r="K108" s="8" t="s">
        <v>84</v>
      </c>
      <c r="L108" s="8"/>
      <c r="M108" s="8" t="s">
        <v>86</v>
      </c>
      <c r="N108" s="8"/>
      <c r="O108" s="8" t="s">
        <v>87</v>
      </c>
      <c r="P108" s="8" t="s">
        <v>311</v>
      </c>
      <c r="Q108" s="8" t="s">
        <v>190</v>
      </c>
      <c r="R108" s="8" t="s">
        <v>313</v>
      </c>
      <c r="S108" s="8" t="s">
        <v>99</v>
      </c>
      <c r="T108" s="8" t="s">
        <v>664</v>
      </c>
    </row>
    <row r="109" customFormat="false" ht="15" hidden="false" customHeight="false" outlineLevel="0" collapsed="false">
      <c r="A109" s="8" t="s">
        <v>665</v>
      </c>
      <c r="B109" s="8" t="s">
        <v>93</v>
      </c>
      <c r="C109" s="8" t="s">
        <v>144</v>
      </c>
      <c r="D109" s="8" t="s">
        <v>650</v>
      </c>
      <c r="E109" s="9" t="n">
        <f aca="false">IF(C109="inhibition",-1,1)</f>
        <v>-1</v>
      </c>
      <c r="F109" s="8" t="s">
        <v>666</v>
      </c>
      <c r="G109" s="10" t="s">
        <v>667</v>
      </c>
      <c r="H109" s="8" t="s">
        <v>668</v>
      </c>
      <c r="I109" s="8" t="s">
        <v>82</v>
      </c>
      <c r="J109" s="8" t="s">
        <v>83</v>
      </c>
      <c r="K109" s="8" t="s">
        <v>84</v>
      </c>
      <c r="L109" s="8"/>
      <c r="M109" s="8" t="s">
        <v>86</v>
      </c>
      <c r="N109" s="8"/>
      <c r="O109" s="8" t="s">
        <v>87</v>
      </c>
      <c r="P109" s="8" t="s">
        <v>311</v>
      </c>
      <c r="Q109" s="8" t="s">
        <v>97</v>
      </c>
      <c r="R109" s="8" t="s">
        <v>83</v>
      </c>
      <c r="S109" s="8" t="s">
        <v>99</v>
      </c>
      <c r="T109" s="8" t="s">
        <v>669</v>
      </c>
    </row>
    <row r="110" customFormat="false" ht="15" hidden="false" customHeight="false" outlineLevel="0" collapsed="false">
      <c r="A110" s="8" t="s">
        <v>670</v>
      </c>
      <c r="B110" s="8" t="s">
        <v>178</v>
      </c>
      <c r="C110" s="8" t="s">
        <v>77</v>
      </c>
      <c r="D110" s="8" t="s">
        <v>395</v>
      </c>
      <c r="E110" s="9" t="n">
        <f aca="false">IF(C110="inhibition",-1,1)</f>
        <v>1</v>
      </c>
      <c r="F110" s="8" t="s">
        <v>671</v>
      </c>
      <c r="G110" s="10" t="s">
        <v>672</v>
      </c>
      <c r="H110" s="8" t="s">
        <v>673</v>
      </c>
      <c r="I110" s="8" t="s">
        <v>138</v>
      </c>
      <c r="J110" s="8" t="s">
        <v>106</v>
      </c>
      <c r="K110" s="8" t="s">
        <v>84</v>
      </c>
      <c r="L110" s="8"/>
      <c r="M110" s="8" t="s">
        <v>86</v>
      </c>
      <c r="N110" s="8"/>
      <c r="O110" s="8" t="s">
        <v>151</v>
      </c>
      <c r="P110" s="8" t="s">
        <v>87</v>
      </c>
      <c r="Q110" s="8" t="s">
        <v>190</v>
      </c>
      <c r="R110" s="8" t="s">
        <v>191</v>
      </c>
      <c r="S110" s="8" t="s">
        <v>99</v>
      </c>
      <c r="T110" s="8" t="s">
        <v>674</v>
      </c>
    </row>
    <row r="111" customFormat="false" ht="15" hidden="false" customHeight="false" outlineLevel="0" collapsed="false">
      <c r="A111" s="8" t="s">
        <v>675</v>
      </c>
      <c r="B111" s="8" t="s">
        <v>120</v>
      </c>
      <c r="C111" s="8" t="s">
        <v>77</v>
      </c>
      <c r="D111" s="8" t="s">
        <v>395</v>
      </c>
      <c r="E111" s="9" t="n">
        <f aca="false">IF(C111="inhibition",-1,1)</f>
        <v>1</v>
      </c>
      <c r="F111" s="8" t="s">
        <v>676</v>
      </c>
      <c r="G111" s="10" t="s">
        <v>677</v>
      </c>
      <c r="H111" s="8" t="s">
        <v>678</v>
      </c>
      <c r="I111" s="8" t="s">
        <v>158</v>
      </c>
      <c r="J111" s="8" t="s">
        <v>159</v>
      </c>
      <c r="K111" s="8" t="s">
        <v>160</v>
      </c>
      <c r="L111" s="8"/>
      <c r="M111" s="8" t="s">
        <v>86</v>
      </c>
      <c r="N111" s="8"/>
      <c r="O111" s="8" t="s">
        <v>124</v>
      </c>
      <c r="P111" s="8" t="s">
        <v>87</v>
      </c>
      <c r="Q111" s="8" t="s">
        <v>160</v>
      </c>
      <c r="R111" s="8" t="s">
        <v>160</v>
      </c>
      <c r="S111" s="8" t="s">
        <v>160</v>
      </c>
      <c r="T111" s="8" t="s">
        <v>679</v>
      </c>
    </row>
    <row r="112" customFormat="false" ht="15" hidden="false" customHeight="false" outlineLevel="0" collapsed="false">
      <c r="A112" s="8" t="s">
        <v>680</v>
      </c>
      <c r="B112" s="8" t="s">
        <v>681</v>
      </c>
      <c r="C112" s="8" t="s">
        <v>77</v>
      </c>
      <c r="D112" s="8" t="s">
        <v>395</v>
      </c>
      <c r="E112" s="9" t="n">
        <f aca="false">IF(C112="inhibition",-1,1)</f>
        <v>1</v>
      </c>
      <c r="F112" s="8" t="s">
        <v>682</v>
      </c>
      <c r="G112" s="10" t="s">
        <v>683</v>
      </c>
      <c r="H112" s="8" t="s">
        <v>684</v>
      </c>
      <c r="I112" s="8" t="s">
        <v>158</v>
      </c>
      <c r="J112" s="8" t="s">
        <v>159</v>
      </c>
      <c r="K112" s="8" t="s">
        <v>160</v>
      </c>
      <c r="L112" s="8"/>
      <c r="M112" s="8" t="s">
        <v>86</v>
      </c>
      <c r="N112" s="8"/>
      <c r="O112" s="8" t="s">
        <v>443</v>
      </c>
      <c r="P112" s="8" t="s">
        <v>87</v>
      </c>
      <c r="Q112" s="8" t="s">
        <v>160</v>
      </c>
      <c r="R112" s="8" t="s">
        <v>160</v>
      </c>
      <c r="S112" s="8" t="s">
        <v>160</v>
      </c>
      <c r="T112" s="8" t="s">
        <v>685</v>
      </c>
    </row>
    <row r="113" customFormat="false" ht="15" hidden="false" customHeight="false" outlineLevel="0" collapsed="false">
      <c r="A113" s="8" t="s">
        <v>686</v>
      </c>
      <c r="B113" s="8" t="s">
        <v>134</v>
      </c>
      <c r="C113" s="8" t="s">
        <v>77</v>
      </c>
      <c r="D113" s="8" t="s">
        <v>395</v>
      </c>
      <c r="E113" s="9" t="n">
        <f aca="false">IF(C113="inhibition",-1,1)</f>
        <v>1</v>
      </c>
      <c r="F113" s="8" t="s">
        <v>687</v>
      </c>
      <c r="G113" s="10" t="s">
        <v>688</v>
      </c>
      <c r="H113" s="8" t="s">
        <v>689</v>
      </c>
      <c r="I113" s="8" t="s">
        <v>158</v>
      </c>
      <c r="J113" s="8" t="s">
        <v>159</v>
      </c>
      <c r="K113" s="8" t="s">
        <v>160</v>
      </c>
      <c r="L113" s="8"/>
      <c r="M113" s="8" t="s">
        <v>86</v>
      </c>
      <c r="N113" s="8"/>
      <c r="O113" s="8" t="s">
        <v>124</v>
      </c>
      <c r="P113" s="8" t="s">
        <v>87</v>
      </c>
      <c r="Q113" s="8" t="s">
        <v>160</v>
      </c>
      <c r="R113" s="8" t="s">
        <v>160</v>
      </c>
      <c r="S113" s="8" t="s">
        <v>160</v>
      </c>
      <c r="T113" s="8" t="s">
        <v>690</v>
      </c>
    </row>
    <row r="114" customFormat="false" ht="15" hidden="false" customHeight="false" outlineLevel="0" collapsed="false">
      <c r="A114" s="8" t="s">
        <v>691</v>
      </c>
      <c r="B114" s="8" t="s">
        <v>147</v>
      </c>
      <c r="C114" s="8" t="s">
        <v>144</v>
      </c>
      <c r="D114" s="8" t="s">
        <v>395</v>
      </c>
      <c r="E114" s="9" t="n">
        <f aca="false">IF(C114="inhibition",-1,1)</f>
        <v>-1</v>
      </c>
      <c r="F114" s="8" t="s">
        <v>692</v>
      </c>
      <c r="G114" s="8"/>
      <c r="H114" s="8"/>
      <c r="I114" s="8" t="s">
        <v>138</v>
      </c>
      <c r="J114" s="8" t="s">
        <v>83</v>
      </c>
      <c r="K114" s="8" t="s">
        <v>84</v>
      </c>
      <c r="L114" s="8"/>
      <c r="M114" s="8" t="s">
        <v>213</v>
      </c>
      <c r="N114" s="8"/>
      <c r="O114" s="8" t="s">
        <v>151</v>
      </c>
      <c r="P114" s="8" t="s">
        <v>87</v>
      </c>
      <c r="Q114" s="8" t="s">
        <v>190</v>
      </c>
      <c r="R114" s="8" t="s">
        <v>117</v>
      </c>
      <c r="S114" s="8" t="s">
        <v>99</v>
      </c>
      <c r="T114" s="8" t="s">
        <v>693</v>
      </c>
    </row>
    <row r="115" customFormat="false" ht="15" hidden="false" customHeight="false" outlineLevel="0" collapsed="false">
      <c r="A115" s="8" t="s">
        <v>694</v>
      </c>
      <c r="B115" s="8" t="s">
        <v>218</v>
      </c>
      <c r="C115" s="8" t="s">
        <v>144</v>
      </c>
      <c r="D115" s="8" t="s">
        <v>395</v>
      </c>
      <c r="E115" s="9" t="n">
        <f aca="false">IF(C115="inhibition",-1,1)</f>
        <v>-1</v>
      </c>
      <c r="F115" s="8" t="s">
        <v>695</v>
      </c>
      <c r="G115" s="10" t="s">
        <v>696</v>
      </c>
      <c r="H115" s="8" t="s">
        <v>697</v>
      </c>
      <c r="I115" s="8" t="s">
        <v>158</v>
      </c>
      <c r="J115" s="8" t="s">
        <v>159</v>
      </c>
      <c r="K115" s="8" t="s">
        <v>160</v>
      </c>
      <c r="L115" s="8"/>
      <c r="M115" s="8" t="s">
        <v>86</v>
      </c>
      <c r="N115" s="8"/>
      <c r="O115" s="8" t="s">
        <v>124</v>
      </c>
      <c r="P115" s="8" t="s">
        <v>87</v>
      </c>
      <c r="Q115" s="8" t="s">
        <v>160</v>
      </c>
      <c r="R115" s="8" t="s">
        <v>160</v>
      </c>
      <c r="S115" s="8" t="s">
        <v>160</v>
      </c>
      <c r="T115" s="8" t="s">
        <v>698</v>
      </c>
    </row>
    <row r="116" customFormat="false" ht="15" hidden="false" customHeight="false" outlineLevel="0" collapsed="false">
      <c r="A116" s="8" t="s">
        <v>699</v>
      </c>
      <c r="B116" s="8" t="s">
        <v>395</v>
      </c>
      <c r="C116" s="8" t="s">
        <v>77</v>
      </c>
      <c r="D116" s="8" t="s">
        <v>700</v>
      </c>
      <c r="E116" s="9" t="n">
        <f aca="false">IF(C116="inhibition",-1,1)</f>
        <v>1</v>
      </c>
      <c r="F116" s="8" t="s">
        <v>701</v>
      </c>
      <c r="G116" s="10" t="s">
        <v>702</v>
      </c>
      <c r="H116" s="8" t="s">
        <v>703</v>
      </c>
      <c r="I116" s="8" t="s">
        <v>158</v>
      </c>
      <c r="J116" s="8" t="s">
        <v>159</v>
      </c>
      <c r="K116" s="8" t="s">
        <v>160</v>
      </c>
      <c r="L116" s="8"/>
      <c r="M116" s="8" t="s">
        <v>86</v>
      </c>
      <c r="N116" s="8"/>
      <c r="O116" s="8" t="s">
        <v>87</v>
      </c>
      <c r="P116" s="8" t="s">
        <v>285</v>
      </c>
      <c r="Q116" s="8" t="s">
        <v>160</v>
      </c>
      <c r="R116" s="8" t="s">
        <v>160</v>
      </c>
      <c r="S116" s="8" t="s">
        <v>160</v>
      </c>
      <c r="T116" s="8" t="s">
        <v>704</v>
      </c>
    </row>
    <row r="117" customFormat="false" ht="15" hidden="false" customHeight="false" outlineLevel="0" collapsed="false">
      <c r="A117" s="8" t="s">
        <v>705</v>
      </c>
      <c r="B117" s="8" t="s">
        <v>128</v>
      </c>
      <c r="C117" s="8" t="s">
        <v>77</v>
      </c>
      <c r="D117" s="8" t="s">
        <v>700</v>
      </c>
      <c r="E117" s="9" t="n">
        <f aca="false">IF(C117="inhibition",-1,1)</f>
        <v>1</v>
      </c>
      <c r="F117" s="8" t="s">
        <v>706</v>
      </c>
      <c r="G117" s="10" t="s">
        <v>707</v>
      </c>
      <c r="H117" s="8" t="s">
        <v>708</v>
      </c>
      <c r="I117" s="8" t="s">
        <v>138</v>
      </c>
      <c r="J117" s="8" t="s">
        <v>83</v>
      </c>
      <c r="K117" s="8" t="s">
        <v>84</v>
      </c>
      <c r="L117" s="8"/>
      <c r="M117" s="8" t="s">
        <v>86</v>
      </c>
      <c r="N117" s="8"/>
      <c r="O117" s="8" t="s">
        <v>87</v>
      </c>
      <c r="P117" s="8" t="s">
        <v>285</v>
      </c>
      <c r="Q117" s="8" t="s">
        <v>190</v>
      </c>
      <c r="R117" s="8" t="s">
        <v>83</v>
      </c>
      <c r="S117" s="8" t="s">
        <v>99</v>
      </c>
      <c r="T117" s="8" t="s">
        <v>709</v>
      </c>
    </row>
    <row r="118" customFormat="false" ht="15" hidden="false" customHeight="false" outlineLevel="0" collapsed="false">
      <c r="A118" s="8" t="s">
        <v>710</v>
      </c>
      <c r="B118" s="8" t="s">
        <v>711</v>
      </c>
      <c r="C118" s="8" t="s">
        <v>77</v>
      </c>
      <c r="D118" s="8" t="s">
        <v>712</v>
      </c>
      <c r="E118" s="9" t="n">
        <f aca="false">IF(C118="inhibition",-1,1)</f>
        <v>1</v>
      </c>
      <c r="F118" s="8" t="s">
        <v>713</v>
      </c>
      <c r="G118" s="10" t="s">
        <v>714</v>
      </c>
      <c r="H118" s="8" t="s">
        <v>715</v>
      </c>
      <c r="I118" s="8" t="s">
        <v>138</v>
      </c>
      <c r="J118" s="8" t="s">
        <v>106</v>
      </c>
      <c r="K118" s="8" t="s">
        <v>160</v>
      </c>
      <c r="L118" s="8"/>
      <c r="M118" s="8" t="s">
        <v>86</v>
      </c>
      <c r="N118" s="8"/>
      <c r="O118" s="8" t="s">
        <v>214</v>
      </c>
      <c r="P118" s="8" t="s">
        <v>311</v>
      </c>
      <c r="Q118" s="8" t="s">
        <v>277</v>
      </c>
      <c r="R118" s="8" t="s">
        <v>278</v>
      </c>
      <c r="S118" s="8" t="s">
        <v>160</v>
      </c>
      <c r="T118" s="8" t="s">
        <v>716</v>
      </c>
    </row>
    <row r="119" customFormat="false" ht="15" hidden="false" customHeight="false" outlineLevel="0" collapsed="false">
      <c r="A119" s="8" t="s">
        <v>717</v>
      </c>
      <c r="B119" s="8" t="s">
        <v>718</v>
      </c>
      <c r="C119" s="8" t="s">
        <v>77</v>
      </c>
      <c r="D119" s="8" t="s">
        <v>712</v>
      </c>
      <c r="E119" s="9" t="n">
        <f aca="false">IF(C119="inhibition",-1,1)</f>
        <v>1</v>
      </c>
      <c r="F119" s="8" t="s">
        <v>713</v>
      </c>
      <c r="G119" s="10" t="s">
        <v>714</v>
      </c>
      <c r="H119" s="8" t="s">
        <v>715</v>
      </c>
      <c r="I119" s="8" t="s">
        <v>138</v>
      </c>
      <c r="J119" s="8" t="s">
        <v>106</v>
      </c>
      <c r="K119" s="8" t="s">
        <v>160</v>
      </c>
      <c r="L119" s="8"/>
      <c r="M119" s="8" t="s">
        <v>86</v>
      </c>
      <c r="N119" s="8"/>
      <c r="O119" s="8" t="s">
        <v>214</v>
      </c>
      <c r="P119" s="8" t="s">
        <v>311</v>
      </c>
      <c r="Q119" s="8" t="s">
        <v>277</v>
      </c>
      <c r="R119" s="8" t="s">
        <v>278</v>
      </c>
      <c r="S119" s="8" t="s">
        <v>160</v>
      </c>
      <c r="T119" s="8" t="s">
        <v>716</v>
      </c>
    </row>
    <row r="120" customFormat="false" ht="15" hidden="false" customHeight="false" outlineLevel="0" collapsed="false">
      <c r="A120" s="8" t="s">
        <v>719</v>
      </c>
      <c r="B120" s="8" t="s">
        <v>433</v>
      </c>
      <c r="C120" s="8" t="s">
        <v>77</v>
      </c>
      <c r="D120" s="8" t="s">
        <v>712</v>
      </c>
      <c r="E120" s="9" t="n">
        <f aca="false">IF(C120="inhibition",-1,1)</f>
        <v>1</v>
      </c>
      <c r="F120" s="8" t="s">
        <v>720</v>
      </c>
      <c r="G120" s="10" t="s">
        <v>721</v>
      </c>
      <c r="H120" s="8" t="s">
        <v>722</v>
      </c>
      <c r="I120" s="8" t="s">
        <v>158</v>
      </c>
      <c r="J120" s="8" t="s">
        <v>159</v>
      </c>
      <c r="K120" s="8" t="s">
        <v>160</v>
      </c>
      <c r="L120" s="8"/>
      <c r="M120" s="8" t="s">
        <v>86</v>
      </c>
      <c r="N120" s="8"/>
      <c r="O120" s="8" t="s">
        <v>214</v>
      </c>
      <c r="P120" s="8" t="s">
        <v>311</v>
      </c>
      <c r="Q120" s="8" t="s">
        <v>215</v>
      </c>
      <c r="R120" s="8" t="s">
        <v>160</v>
      </c>
      <c r="S120" s="8" t="s">
        <v>160</v>
      </c>
      <c r="T120" s="8" t="s">
        <v>723</v>
      </c>
    </row>
    <row r="121" customFormat="false" ht="15" hidden="false" customHeight="false" outlineLevel="0" collapsed="false">
      <c r="A121" s="8" t="s">
        <v>724</v>
      </c>
      <c r="B121" s="8" t="s">
        <v>128</v>
      </c>
      <c r="C121" s="8" t="s">
        <v>144</v>
      </c>
      <c r="D121" s="8" t="s">
        <v>712</v>
      </c>
      <c r="E121" s="9" t="n">
        <f aca="false">IF(C121="inhibition",-1,1)</f>
        <v>-1</v>
      </c>
      <c r="F121" s="8" t="s">
        <v>725</v>
      </c>
      <c r="G121" s="10" t="s">
        <v>726</v>
      </c>
      <c r="H121" s="8" t="s">
        <v>727</v>
      </c>
      <c r="I121" s="8" t="s">
        <v>138</v>
      </c>
      <c r="J121" s="8" t="s">
        <v>83</v>
      </c>
      <c r="K121" s="8" t="s">
        <v>84</v>
      </c>
      <c r="L121" s="8"/>
      <c r="M121" s="8" t="s">
        <v>86</v>
      </c>
      <c r="N121" s="8"/>
      <c r="O121" s="8" t="s">
        <v>87</v>
      </c>
      <c r="P121" s="8" t="s">
        <v>311</v>
      </c>
      <c r="Q121" s="8" t="s">
        <v>190</v>
      </c>
      <c r="R121" s="8" t="s">
        <v>117</v>
      </c>
      <c r="S121" s="8" t="s">
        <v>99</v>
      </c>
      <c r="T121" s="8" t="s">
        <v>728</v>
      </c>
    </row>
    <row r="122" customFormat="false" ht="15" hidden="false" customHeight="false" outlineLevel="0" collapsed="false">
      <c r="A122" s="8" t="s">
        <v>729</v>
      </c>
      <c r="B122" s="8" t="s">
        <v>395</v>
      </c>
      <c r="C122" s="8" t="s">
        <v>77</v>
      </c>
      <c r="D122" s="8" t="s">
        <v>730</v>
      </c>
      <c r="E122" s="9" t="n">
        <f aca="false">IF(C122="inhibition",-1,1)</f>
        <v>1</v>
      </c>
      <c r="F122" s="8" t="s">
        <v>397</v>
      </c>
      <c r="G122" s="10" t="s">
        <v>398</v>
      </c>
      <c r="H122" s="8" t="s">
        <v>399</v>
      </c>
      <c r="I122" s="8" t="s">
        <v>138</v>
      </c>
      <c r="J122" s="8" t="s">
        <v>83</v>
      </c>
      <c r="K122" s="8" t="s">
        <v>84</v>
      </c>
      <c r="L122" s="8"/>
      <c r="M122" s="8" t="s">
        <v>86</v>
      </c>
      <c r="N122" s="8"/>
      <c r="O122" s="8" t="s">
        <v>87</v>
      </c>
      <c r="P122" s="8" t="s">
        <v>151</v>
      </c>
      <c r="Q122" s="8" t="s">
        <v>190</v>
      </c>
      <c r="R122" s="8" t="s">
        <v>117</v>
      </c>
      <c r="S122" s="8" t="s">
        <v>99</v>
      </c>
      <c r="T122" s="8" t="s">
        <v>731</v>
      </c>
    </row>
    <row r="123" customFormat="false" ht="15" hidden="false" customHeight="false" outlineLevel="0" collapsed="false">
      <c r="A123" s="8" t="s">
        <v>732</v>
      </c>
      <c r="B123" s="8" t="s">
        <v>335</v>
      </c>
      <c r="C123" s="8" t="s">
        <v>77</v>
      </c>
      <c r="D123" s="8" t="s">
        <v>730</v>
      </c>
      <c r="E123" s="9" t="n">
        <f aca="false">IF(C123="inhibition",-1,1)</f>
        <v>1</v>
      </c>
      <c r="F123" s="8" t="s">
        <v>404</v>
      </c>
      <c r="G123" s="10" t="s">
        <v>405</v>
      </c>
      <c r="H123" s="8"/>
      <c r="I123" s="8" t="s">
        <v>158</v>
      </c>
      <c r="J123" s="8" t="s">
        <v>159</v>
      </c>
      <c r="K123" s="8" t="s">
        <v>160</v>
      </c>
      <c r="L123" s="8"/>
      <c r="M123" s="8" t="s">
        <v>86</v>
      </c>
      <c r="N123" s="8"/>
      <c r="O123" s="8" t="s">
        <v>87</v>
      </c>
      <c r="P123" s="8" t="s">
        <v>151</v>
      </c>
      <c r="Q123" s="8" t="s">
        <v>406</v>
      </c>
      <c r="R123" s="8" t="s">
        <v>160</v>
      </c>
      <c r="S123" s="8" t="s">
        <v>160</v>
      </c>
      <c r="T123" s="8" t="s">
        <v>407</v>
      </c>
    </row>
    <row r="124" customFormat="false" ht="15" hidden="false" customHeight="false" outlineLevel="0" collapsed="false">
      <c r="A124" s="8" t="s">
        <v>733</v>
      </c>
      <c r="B124" s="8" t="s">
        <v>194</v>
      </c>
      <c r="C124" s="8" t="s">
        <v>77</v>
      </c>
      <c r="D124" s="8" t="s">
        <v>539</v>
      </c>
      <c r="E124" s="9" t="n">
        <f aca="false">IF(C124="inhibition",-1,1)</f>
        <v>1</v>
      </c>
      <c r="F124" s="8" t="s">
        <v>734</v>
      </c>
      <c r="G124" s="10" t="s">
        <v>735</v>
      </c>
      <c r="H124" s="8"/>
      <c r="I124" s="8" t="s">
        <v>158</v>
      </c>
      <c r="J124" s="8" t="s">
        <v>159</v>
      </c>
      <c r="K124" s="8" t="s">
        <v>160</v>
      </c>
      <c r="L124" s="8"/>
      <c r="M124" s="8" t="s">
        <v>86</v>
      </c>
      <c r="N124" s="8"/>
      <c r="O124" s="8" t="s">
        <v>199</v>
      </c>
      <c r="P124" s="8" t="s">
        <v>151</v>
      </c>
      <c r="Q124" s="8" t="s">
        <v>215</v>
      </c>
      <c r="R124" s="8" t="s">
        <v>160</v>
      </c>
      <c r="S124" s="8" t="s">
        <v>160</v>
      </c>
      <c r="T124" s="8" t="s">
        <v>736</v>
      </c>
    </row>
    <row r="125" customFormat="false" ht="15" hidden="false" customHeight="false" outlineLevel="0" collapsed="false">
      <c r="A125" s="8" t="s">
        <v>737</v>
      </c>
      <c r="B125" s="8" t="s">
        <v>170</v>
      </c>
      <c r="C125" s="8" t="s">
        <v>144</v>
      </c>
      <c r="D125" s="8" t="s">
        <v>539</v>
      </c>
      <c r="E125" s="9" t="n">
        <f aca="false">IF(C125="inhibition",-1,1)</f>
        <v>-1</v>
      </c>
      <c r="F125" s="8" t="s">
        <v>738</v>
      </c>
      <c r="G125" s="8"/>
      <c r="H125" s="8"/>
      <c r="I125" s="8" t="s">
        <v>138</v>
      </c>
      <c r="J125" s="8" t="s">
        <v>83</v>
      </c>
      <c r="K125" s="8" t="s">
        <v>84</v>
      </c>
      <c r="L125" s="8"/>
      <c r="M125" s="8" t="s">
        <v>213</v>
      </c>
      <c r="N125" s="8"/>
      <c r="O125" s="8" t="s">
        <v>151</v>
      </c>
      <c r="P125" s="8" t="s">
        <v>151</v>
      </c>
      <c r="Q125" s="8" t="s">
        <v>190</v>
      </c>
      <c r="R125" s="8" t="s">
        <v>739</v>
      </c>
      <c r="S125" s="8" t="s">
        <v>99</v>
      </c>
      <c r="T125" s="8" t="s">
        <v>740</v>
      </c>
    </row>
    <row r="126" customFormat="false" ht="15" hidden="false" customHeight="false" outlineLevel="0" collapsed="false">
      <c r="A126" s="8" t="s">
        <v>741</v>
      </c>
      <c r="B126" s="8" t="s">
        <v>531</v>
      </c>
      <c r="C126" s="8" t="s">
        <v>77</v>
      </c>
      <c r="D126" s="8" t="s">
        <v>76</v>
      </c>
      <c r="E126" s="9" t="n">
        <f aca="false">IF(C126="inhibition",-1,1)</f>
        <v>1</v>
      </c>
      <c r="F126" s="8" t="s">
        <v>742</v>
      </c>
      <c r="G126" s="10" t="s">
        <v>743</v>
      </c>
      <c r="H126" s="8" t="s">
        <v>744</v>
      </c>
      <c r="I126" s="8" t="s">
        <v>158</v>
      </c>
      <c r="J126" s="8" t="s">
        <v>159</v>
      </c>
      <c r="K126" s="8" t="s">
        <v>160</v>
      </c>
      <c r="L126" s="8"/>
      <c r="M126" s="8" t="s">
        <v>86</v>
      </c>
      <c r="N126" s="8"/>
      <c r="O126" s="8" t="s">
        <v>124</v>
      </c>
      <c r="P126" s="8" t="s">
        <v>87</v>
      </c>
      <c r="Q126" s="8" t="s">
        <v>160</v>
      </c>
      <c r="R126" s="8" t="s">
        <v>160</v>
      </c>
      <c r="S126" s="8" t="s">
        <v>160</v>
      </c>
      <c r="T126" s="8" t="s">
        <v>745</v>
      </c>
    </row>
    <row r="127" customFormat="false" ht="15" hidden="false" customHeight="false" outlineLevel="0" collapsed="false">
      <c r="A127" s="8" t="s">
        <v>746</v>
      </c>
      <c r="B127" s="8" t="s">
        <v>120</v>
      </c>
      <c r="C127" s="8" t="s">
        <v>77</v>
      </c>
      <c r="D127" s="8" t="s">
        <v>76</v>
      </c>
      <c r="E127" s="9" t="n">
        <f aca="false">IF(C127="inhibition",-1,1)</f>
        <v>1</v>
      </c>
      <c r="F127" s="8" t="s">
        <v>747</v>
      </c>
      <c r="G127" s="10" t="s">
        <v>748</v>
      </c>
      <c r="H127" s="8" t="s">
        <v>749</v>
      </c>
      <c r="I127" s="8" t="s">
        <v>158</v>
      </c>
      <c r="J127" s="8" t="s">
        <v>159</v>
      </c>
      <c r="K127" s="8" t="s">
        <v>160</v>
      </c>
      <c r="L127" s="8"/>
      <c r="M127" s="8" t="s">
        <v>86</v>
      </c>
      <c r="N127" s="8"/>
      <c r="O127" s="8" t="s">
        <v>124</v>
      </c>
      <c r="P127" s="8" t="s">
        <v>87</v>
      </c>
      <c r="Q127" s="8" t="s">
        <v>215</v>
      </c>
      <c r="R127" s="8" t="s">
        <v>160</v>
      </c>
      <c r="S127" s="8" t="s">
        <v>160</v>
      </c>
      <c r="T127" s="8" t="s">
        <v>750</v>
      </c>
    </row>
    <row r="128" customFormat="false" ht="15" hidden="false" customHeight="false" outlineLevel="0" collapsed="false">
      <c r="A128" s="8" t="s">
        <v>751</v>
      </c>
      <c r="B128" s="8" t="s">
        <v>204</v>
      </c>
      <c r="C128" s="8" t="s">
        <v>77</v>
      </c>
      <c r="D128" s="8" t="s">
        <v>76</v>
      </c>
      <c r="E128" s="9" t="n">
        <f aca="false">IF(C128="inhibition",-1,1)</f>
        <v>1</v>
      </c>
      <c r="F128" s="8" t="s">
        <v>752</v>
      </c>
      <c r="G128" s="10" t="s">
        <v>753</v>
      </c>
      <c r="H128" s="8" t="s">
        <v>754</v>
      </c>
      <c r="I128" s="8" t="s">
        <v>158</v>
      </c>
      <c r="J128" s="8" t="s">
        <v>159</v>
      </c>
      <c r="K128" s="8" t="s">
        <v>160</v>
      </c>
      <c r="L128" s="8"/>
      <c r="M128" s="8" t="s">
        <v>86</v>
      </c>
      <c r="N128" s="8"/>
      <c r="O128" s="8" t="s">
        <v>151</v>
      </c>
      <c r="P128" s="8" t="s">
        <v>87</v>
      </c>
      <c r="Q128" s="8" t="s">
        <v>160</v>
      </c>
      <c r="R128" s="8" t="s">
        <v>160</v>
      </c>
      <c r="S128" s="8" t="s">
        <v>160</v>
      </c>
      <c r="T128" s="8" t="s">
        <v>755</v>
      </c>
    </row>
    <row r="129" customFormat="false" ht="15" hidden="false" customHeight="false" outlineLevel="0" collapsed="false">
      <c r="A129" s="8" t="s">
        <v>756</v>
      </c>
      <c r="B129" s="8" t="s">
        <v>134</v>
      </c>
      <c r="C129" s="8" t="s">
        <v>77</v>
      </c>
      <c r="D129" s="8" t="s">
        <v>76</v>
      </c>
      <c r="E129" s="9" t="n">
        <f aca="false">IF(C129="inhibition",-1,1)</f>
        <v>1</v>
      </c>
      <c r="F129" s="8" t="s">
        <v>757</v>
      </c>
      <c r="G129" s="10" t="s">
        <v>758</v>
      </c>
      <c r="H129" s="8" t="s">
        <v>759</v>
      </c>
      <c r="I129" s="8" t="s">
        <v>138</v>
      </c>
      <c r="J129" s="8" t="s">
        <v>83</v>
      </c>
      <c r="K129" s="8" t="s">
        <v>84</v>
      </c>
      <c r="L129" s="8" t="s">
        <v>760</v>
      </c>
      <c r="M129" s="8" t="s">
        <v>86</v>
      </c>
      <c r="N129" s="8"/>
      <c r="O129" s="8" t="s">
        <v>124</v>
      </c>
      <c r="P129" s="8" t="s">
        <v>87</v>
      </c>
      <c r="Q129" s="8" t="s">
        <v>140</v>
      </c>
      <c r="R129" s="8" t="s">
        <v>761</v>
      </c>
      <c r="S129" s="8" t="s">
        <v>84</v>
      </c>
      <c r="T129" s="8" t="s">
        <v>762</v>
      </c>
    </row>
    <row r="130" customFormat="false" ht="15" hidden="false" customHeight="false" outlineLevel="0" collapsed="false">
      <c r="A130" s="8" t="s">
        <v>763</v>
      </c>
      <c r="B130" s="8" t="s">
        <v>539</v>
      </c>
      <c r="C130" s="8" t="s">
        <v>144</v>
      </c>
      <c r="D130" s="8" t="s">
        <v>76</v>
      </c>
      <c r="E130" s="9" t="n">
        <f aca="false">IF(C130="inhibition",-1,1)</f>
        <v>-1</v>
      </c>
      <c r="F130" s="8" t="s">
        <v>764</v>
      </c>
      <c r="G130" s="10" t="s">
        <v>765</v>
      </c>
      <c r="H130" s="8" t="s">
        <v>766</v>
      </c>
      <c r="I130" s="8" t="s">
        <v>158</v>
      </c>
      <c r="J130" s="8" t="s">
        <v>159</v>
      </c>
      <c r="K130" s="8" t="s">
        <v>160</v>
      </c>
      <c r="L130" s="8"/>
      <c r="M130" s="8" t="s">
        <v>86</v>
      </c>
      <c r="N130" s="8"/>
      <c r="O130" s="8" t="s">
        <v>151</v>
      </c>
      <c r="P130" s="8" t="s">
        <v>87</v>
      </c>
      <c r="Q130" s="8" t="s">
        <v>160</v>
      </c>
      <c r="R130" s="8" t="s">
        <v>160</v>
      </c>
      <c r="S130" s="8" t="s">
        <v>160</v>
      </c>
      <c r="T130" s="8" t="s">
        <v>767</v>
      </c>
    </row>
    <row r="131" customFormat="false" ht="15" hidden="false" customHeight="false" outlineLevel="0" collapsed="false">
      <c r="A131" s="8" t="s">
        <v>768</v>
      </c>
      <c r="B131" s="8" t="s">
        <v>128</v>
      </c>
      <c r="C131" s="8" t="s">
        <v>77</v>
      </c>
      <c r="D131" s="8" t="s">
        <v>111</v>
      </c>
      <c r="E131" s="9" t="n">
        <f aca="false">IF(C131="inhibition",-1,1)</f>
        <v>1</v>
      </c>
      <c r="F131" s="8" t="s">
        <v>769</v>
      </c>
      <c r="G131" s="10" t="s">
        <v>770</v>
      </c>
      <c r="H131" s="8" t="s">
        <v>771</v>
      </c>
      <c r="I131" s="8" t="s">
        <v>138</v>
      </c>
      <c r="J131" s="8" t="s">
        <v>106</v>
      </c>
      <c r="K131" s="8" t="s">
        <v>276</v>
      </c>
      <c r="L131" s="8"/>
      <c r="M131" s="8" t="s">
        <v>86</v>
      </c>
      <c r="N131" s="8"/>
      <c r="O131" s="8" t="s">
        <v>87</v>
      </c>
      <c r="P131" s="8" t="s">
        <v>87</v>
      </c>
      <c r="Q131" s="8" t="s">
        <v>190</v>
      </c>
      <c r="R131" s="8" t="s">
        <v>772</v>
      </c>
      <c r="S131" s="8" t="s">
        <v>276</v>
      </c>
      <c r="T131" s="8" t="s">
        <v>773</v>
      </c>
    </row>
    <row r="132" customFormat="false" ht="15" hidden="false" customHeight="false" outlineLevel="0" collapsed="false">
      <c r="A132" s="8" t="s">
        <v>774</v>
      </c>
      <c r="B132" s="8" t="s">
        <v>194</v>
      </c>
      <c r="C132" s="8" t="s">
        <v>77</v>
      </c>
      <c r="D132" s="8" t="s">
        <v>111</v>
      </c>
      <c r="E132" s="9" t="n">
        <f aca="false">IF(C132="inhibition",-1,1)</f>
        <v>1</v>
      </c>
      <c r="F132" s="8" t="s">
        <v>775</v>
      </c>
      <c r="G132" s="10" t="s">
        <v>776</v>
      </c>
      <c r="H132" s="8" t="s">
        <v>777</v>
      </c>
      <c r="I132" s="8" t="s">
        <v>158</v>
      </c>
      <c r="J132" s="8" t="s">
        <v>159</v>
      </c>
      <c r="K132" s="8" t="s">
        <v>160</v>
      </c>
      <c r="L132" s="8"/>
      <c r="M132" s="8" t="s">
        <v>86</v>
      </c>
      <c r="N132" s="8"/>
      <c r="O132" s="8" t="s">
        <v>199</v>
      </c>
      <c r="P132" s="8" t="s">
        <v>87</v>
      </c>
      <c r="Q132" s="8" t="s">
        <v>617</v>
      </c>
      <c r="R132" s="8" t="s">
        <v>160</v>
      </c>
      <c r="S132" s="8" t="s">
        <v>160</v>
      </c>
      <c r="T132" s="8" t="s">
        <v>778</v>
      </c>
    </row>
    <row r="133" customFormat="false" ht="15" hidden="false" customHeight="false" outlineLevel="0" collapsed="false">
      <c r="A133" s="8" t="s">
        <v>779</v>
      </c>
      <c r="B133" s="8" t="s">
        <v>780</v>
      </c>
      <c r="C133" s="8" t="s">
        <v>144</v>
      </c>
      <c r="D133" s="8" t="s">
        <v>111</v>
      </c>
      <c r="E133" s="9" t="n">
        <f aca="false">IF(C133="inhibition",-1,1)</f>
        <v>-1</v>
      </c>
      <c r="F133" s="8" t="s">
        <v>781</v>
      </c>
      <c r="G133" s="10" t="s">
        <v>782</v>
      </c>
      <c r="H133" s="8"/>
      <c r="I133" s="8" t="s">
        <v>138</v>
      </c>
      <c r="J133" s="8" t="s">
        <v>106</v>
      </c>
      <c r="K133" s="8" t="s">
        <v>236</v>
      </c>
      <c r="L133" s="8" t="s">
        <v>783</v>
      </c>
      <c r="M133" s="8" t="s">
        <v>86</v>
      </c>
      <c r="N133" s="8"/>
      <c r="O133" s="8" t="s">
        <v>151</v>
      </c>
      <c r="P133" s="8" t="s">
        <v>87</v>
      </c>
      <c r="Q133" s="8" t="s">
        <v>140</v>
      </c>
      <c r="R133" s="8" t="s">
        <v>784</v>
      </c>
      <c r="S133" s="8" t="s">
        <v>785</v>
      </c>
      <c r="T133" s="8" t="s">
        <v>786</v>
      </c>
    </row>
    <row r="134" customFormat="false" ht="15" hidden="false" customHeight="false" outlineLevel="0" collapsed="false">
      <c r="A134" s="8" t="s">
        <v>787</v>
      </c>
      <c r="B134" s="8" t="s">
        <v>76</v>
      </c>
      <c r="C134" s="8" t="s">
        <v>77</v>
      </c>
      <c r="D134" s="8" t="s">
        <v>788</v>
      </c>
      <c r="E134" s="9" t="n">
        <f aca="false">IF(C134="inhibition",-1,1)</f>
        <v>1</v>
      </c>
      <c r="F134" s="8" t="s">
        <v>789</v>
      </c>
      <c r="G134" s="8"/>
      <c r="H134" s="8" t="s">
        <v>790</v>
      </c>
      <c r="I134" s="8" t="s">
        <v>158</v>
      </c>
      <c r="J134" s="8" t="s">
        <v>159</v>
      </c>
      <c r="K134" s="8" t="s">
        <v>160</v>
      </c>
      <c r="L134" s="8"/>
      <c r="M134" s="8" t="s">
        <v>213</v>
      </c>
      <c r="N134" s="8"/>
      <c r="O134" s="8" t="s">
        <v>87</v>
      </c>
      <c r="P134" s="8" t="s">
        <v>151</v>
      </c>
      <c r="Q134" s="8" t="s">
        <v>215</v>
      </c>
      <c r="R134" s="8" t="s">
        <v>160</v>
      </c>
      <c r="S134" s="8" t="s">
        <v>160</v>
      </c>
      <c r="T134" s="8" t="s">
        <v>791</v>
      </c>
    </row>
    <row r="135" customFormat="false" ht="15" hidden="false" customHeight="false" outlineLevel="0" collapsed="false">
      <c r="A135" s="8" t="s">
        <v>792</v>
      </c>
      <c r="B135" s="8" t="s">
        <v>335</v>
      </c>
      <c r="C135" s="8" t="s">
        <v>77</v>
      </c>
      <c r="D135" s="8" t="s">
        <v>788</v>
      </c>
      <c r="E135" s="9" t="n">
        <f aca="false">IF(C135="inhibition",-1,1)</f>
        <v>1</v>
      </c>
      <c r="F135" s="8" t="s">
        <v>793</v>
      </c>
      <c r="G135" s="10" t="s">
        <v>794</v>
      </c>
      <c r="H135" s="8" t="s">
        <v>795</v>
      </c>
      <c r="I135" s="8" t="s">
        <v>138</v>
      </c>
      <c r="J135" s="8" t="s">
        <v>106</v>
      </c>
      <c r="K135" s="8" t="s">
        <v>160</v>
      </c>
      <c r="L135" s="8"/>
      <c r="M135" s="8" t="s">
        <v>86</v>
      </c>
      <c r="N135" s="8"/>
      <c r="O135" s="8" t="s">
        <v>87</v>
      </c>
      <c r="P135" s="8" t="s">
        <v>151</v>
      </c>
      <c r="Q135" s="8" t="s">
        <v>230</v>
      </c>
      <c r="R135" s="8" t="s">
        <v>466</v>
      </c>
      <c r="S135" s="8" t="s">
        <v>160</v>
      </c>
      <c r="T135" s="8" t="s">
        <v>796</v>
      </c>
    </row>
    <row r="136" customFormat="false" ht="15" hidden="false" customHeight="false" outlineLevel="0" collapsed="false">
      <c r="A136" s="8" t="s">
        <v>797</v>
      </c>
      <c r="B136" s="8" t="s">
        <v>204</v>
      </c>
      <c r="C136" s="8" t="s">
        <v>77</v>
      </c>
      <c r="D136" s="8" t="s">
        <v>798</v>
      </c>
      <c r="E136" s="9" t="n">
        <f aca="false">IF(C136="inhibition",-1,1)</f>
        <v>1</v>
      </c>
      <c r="F136" s="8" t="s">
        <v>799</v>
      </c>
      <c r="G136" s="10" t="s">
        <v>800</v>
      </c>
      <c r="H136" s="8" t="s">
        <v>801</v>
      </c>
      <c r="I136" s="8" t="s">
        <v>158</v>
      </c>
      <c r="J136" s="8" t="s">
        <v>159</v>
      </c>
      <c r="K136" s="8" t="s">
        <v>160</v>
      </c>
      <c r="L136" s="8"/>
      <c r="M136" s="8" t="s">
        <v>86</v>
      </c>
      <c r="N136" s="8"/>
      <c r="O136" s="8" t="s">
        <v>151</v>
      </c>
      <c r="P136" s="8" t="s">
        <v>87</v>
      </c>
      <c r="Q136" s="8" t="s">
        <v>160</v>
      </c>
      <c r="R136" s="8" t="s">
        <v>160</v>
      </c>
      <c r="S136" s="8" t="s">
        <v>160</v>
      </c>
      <c r="T136" s="8" t="s">
        <v>802</v>
      </c>
    </row>
    <row r="137" customFormat="false" ht="15" hidden="false" customHeight="false" outlineLevel="0" collapsed="false">
      <c r="A137" s="8" t="s">
        <v>803</v>
      </c>
      <c r="B137" s="8" t="s">
        <v>804</v>
      </c>
      <c r="C137" s="8" t="s">
        <v>77</v>
      </c>
      <c r="D137" s="8" t="s">
        <v>798</v>
      </c>
      <c r="E137" s="9" t="n">
        <f aca="false">IF(C137="inhibition",-1,1)</f>
        <v>1</v>
      </c>
      <c r="F137" s="8" t="s">
        <v>805</v>
      </c>
      <c r="G137" s="10" t="s">
        <v>806</v>
      </c>
      <c r="H137" s="8" t="s">
        <v>807</v>
      </c>
      <c r="I137" s="8" t="s">
        <v>158</v>
      </c>
      <c r="J137" s="8" t="s">
        <v>159</v>
      </c>
      <c r="K137" s="8" t="s">
        <v>160</v>
      </c>
      <c r="L137" s="8"/>
      <c r="M137" s="8" t="s">
        <v>86</v>
      </c>
      <c r="N137" s="8"/>
      <c r="O137" s="8" t="s">
        <v>151</v>
      </c>
      <c r="P137" s="8" t="s">
        <v>87</v>
      </c>
      <c r="Q137" s="8" t="s">
        <v>326</v>
      </c>
      <c r="R137" s="8" t="s">
        <v>160</v>
      </c>
      <c r="S137" s="8" t="s">
        <v>160</v>
      </c>
      <c r="T137" s="8" t="s">
        <v>808</v>
      </c>
    </row>
    <row r="138" customFormat="false" ht="15" hidden="false" customHeight="false" outlineLevel="0" collapsed="false">
      <c r="A138" s="8" t="s">
        <v>809</v>
      </c>
      <c r="B138" s="8" t="s">
        <v>178</v>
      </c>
      <c r="C138" s="8" t="s">
        <v>144</v>
      </c>
      <c r="D138" s="8" t="s">
        <v>798</v>
      </c>
      <c r="E138" s="9" t="n">
        <f aca="false">IF(C138="inhibition",-1,1)</f>
        <v>-1</v>
      </c>
      <c r="F138" s="8" t="s">
        <v>810</v>
      </c>
      <c r="G138" s="10" t="s">
        <v>811</v>
      </c>
      <c r="H138" s="8" t="s">
        <v>812</v>
      </c>
      <c r="I138" s="8" t="s">
        <v>158</v>
      </c>
      <c r="J138" s="8" t="s">
        <v>159</v>
      </c>
      <c r="K138" s="8" t="s">
        <v>160</v>
      </c>
      <c r="L138" s="8"/>
      <c r="M138" s="8" t="s">
        <v>86</v>
      </c>
      <c r="N138" s="8"/>
      <c r="O138" s="8" t="s">
        <v>151</v>
      </c>
      <c r="P138" s="8" t="s">
        <v>87</v>
      </c>
      <c r="Q138" s="8" t="s">
        <v>215</v>
      </c>
      <c r="R138" s="8" t="s">
        <v>160</v>
      </c>
      <c r="S138" s="8" t="s">
        <v>160</v>
      </c>
      <c r="T138" s="8" t="s">
        <v>813</v>
      </c>
    </row>
    <row r="139" customFormat="false" ht="15" hidden="false" customHeight="false" outlineLevel="0" collapsed="false">
      <c r="A139" s="8" t="s">
        <v>814</v>
      </c>
      <c r="B139" s="8" t="s">
        <v>120</v>
      </c>
      <c r="C139" s="8" t="s">
        <v>144</v>
      </c>
      <c r="D139" s="8" t="s">
        <v>798</v>
      </c>
      <c r="E139" s="9" t="n">
        <f aca="false">IF(C139="inhibition",-1,1)</f>
        <v>-1</v>
      </c>
      <c r="F139" s="8" t="s">
        <v>815</v>
      </c>
      <c r="G139" s="10" t="s">
        <v>816</v>
      </c>
      <c r="H139" s="8" t="s">
        <v>817</v>
      </c>
      <c r="I139" s="8" t="s">
        <v>158</v>
      </c>
      <c r="J139" s="8" t="s">
        <v>159</v>
      </c>
      <c r="K139" s="8" t="s">
        <v>160</v>
      </c>
      <c r="L139" s="8"/>
      <c r="M139" s="8" t="s">
        <v>86</v>
      </c>
      <c r="N139" s="8"/>
      <c r="O139" s="8" t="s">
        <v>124</v>
      </c>
      <c r="P139" s="8" t="s">
        <v>87</v>
      </c>
      <c r="Q139" s="8" t="s">
        <v>160</v>
      </c>
      <c r="R139" s="8" t="s">
        <v>160</v>
      </c>
      <c r="S139" s="8" t="s">
        <v>160</v>
      </c>
      <c r="T139" s="8" t="s">
        <v>818</v>
      </c>
    </row>
    <row r="140" customFormat="false" ht="15" hidden="false" customHeight="false" outlineLevel="0" collapsed="false">
      <c r="A140" s="8" t="s">
        <v>819</v>
      </c>
      <c r="B140" s="8" t="s">
        <v>798</v>
      </c>
      <c r="C140" s="8" t="s">
        <v>77</v>
      </c>
      <c r="D140" s="8" t="s">
        <v>820</v>
      </c>
      <c r="E140" s="9" t="n">
        <f aca="false">IF(C140="inhibition",-1,1)</f>
        <v>1</v>
      </c>
      <c r="F140" s="8" t="s">
        <v>821</v>
      </c>
      <c r="G140" s="10" t="s">
        <v>822</v>
      </c>
      <c r="H140" s="8" t="s">
        <v>823</v>
      </c>
      <c r="I140" s="8" t="s">
        <v>158</v>
      </c>
      <c r="J140" s="8" t="s">
        <v>159</v>
      </c>
      <c r="K140" s="8" t="s">
        <v>160</v>
      </c>
      <c r="L140" s="8"/>
      <c r="M140" s="8" t="s">
        <v>86</v>
      </c>
      <c r="N140" s="8"/>
      <c r="O140" s="8" t="s">
        <v>87</v>
      </c>
      <c r="P140" s="8" t="s">
        <v>199</v>
      </c>
      <c r="Q140" s="8" t="s">
        <v>160</v>
      </c>
      <c r="R140" s="8" t="s">
        <v>160</v>
      </c>
      <c r="S140" s="8" t="s">
        <v>160</v>
      </c>
      <c r="T140" s="8" t="s">
        <v>824</v>
      </c>
    </row>
    <row r="141" customFormat="false" ht="15" hidden="false" customHeight="false" outlineLevel="0" collapsed="false">
      <c r="A141" s="8" t="s">
        <v>825</v>
      </c>
      <c r="B141" s="8" t="s">
        <v>798</v>
      </c>
      <c r="C141" s="8" t="s">
        <v>77</v>
      </c>
      <c r="D141" s="8" t="s">
        <v>826</v>
      </c>
      <c r="E141" s="9" t="n">
        <f aca="false">IF(C141="inhibition",-1,1)</f>
        <v>1</v>
      </c>
      <c r="F141" s="8" t="s">
        <v>827</v>
      </c>
      <c r="G141" s="10" t="s">
        <v>828</v>
      </c>
      <c r="H141" s="8" t="s">
        <v>829</v>
      </c>
      <c r="I141" s="8" t="s">
        <v>158</v>
      </c>
      <c r="J141" s="8" t="s">
        <v>159</v>
      </c>
      <c r="K141" s="8" t="s">
        <v>160</v>
      </c>
      <c r="L141" s="8"/>
      <c r="M141" s="8" t="s">
        <v>86</v>
      </c>
      <c r="N141" s="8"/>
      <c r="O141" s="8" t="s">
        <v>87</v>
      </c>
      <c r="P141" s="8" t="s">
        <v>199</v>
      </c>
      <c r="Q141" s="8" t="s">
        <v>160</v>
      </c>
      <c r="R141" s="8" t="s">
        <v>160</v>
      </c>
      <c r="S141" s="8" t="s">
        <v>160</v>
      </c>
      <c r="T141" s="8" t="s">
        <v>830</v>
      </c>
    </row>
    <row r="142" customFormat="false" ht="15" hidden="false" customHeight="false" outlineLevel="0" collapsed="false">
      <c r="A142" s="8" t="s">
        <v>831</v>
      </c>
      <c r="B142" s="8" t="s">
        <v>249</v>
      </c>
      <c r="C142" s="8" t="s">
        <v>77</v>
      </c>
      <c r="D142" s="8" t="s">
        <v>826</v>
      </c>
      <c r="E142" s="9" t="n">
        <f aca="false">IF(C142="inhibition",-1,1)</f>
        <v>1</v>
      </c>
      <c r="F142" s="8" t="s">
        <v>832</v>
      </c>
      <c r="G142" s="10" t="s">
        <v>833</v>
      </c>
      <c r="H142" s="8" t="s">
        <v>834</v>
      </c>
      <c r="I142" s="8" t="s">
        <v>82</v>
      </c>
      <c r="J142" s="8" t="s">
        <v>106</v>
      </c>
      <c r="K142" s="8" t="s">
        <v>499</v>
      </c>
      <c r="L142" s="8"/>
      <c r="M142" s="8" t="s">
        <v>86</v>
      </c>
      <c r="N142" s="8"/>
      <c r="O142" s="8" t="s">
        <v>87</v>
      </c>
      <c r="P142" s="8" t="s">
        <v>199</v>
      </c>
      <c r="Q142" s="8" t="s">
        <v>835</v>
      </c>
      <c r="R142" s="8" t="s">
        <v>278</v>
      </c>
      <c r="S142" s="8" t="s">
        <v>501</v>
      </c>
      <c r="T142" s="8" t="s">
        <v>836</v>
      </c>
    </row>
    <row r="143" customFormat="false" ht="15" hidden="false" customHeight="false" outlineLevel="0" collapsed="false">
      <c r="A143" s="8" t="s">
        <v>837</v>
      </c>
      <c r="B143" s="8" t="s">
        <v>102</v>
      </c>
      <c r="C143" s="8" t="s">
        <v>77</v>
      </c>
      <c r="D143" s="8" t="s">
        <v>838</v>
      </c>
      <c r="E143" s="9" t="n">
        <f aca="false">IF(C143="inhibition",-1,1)</f>
        <v>1</v>
      </c>
      <c r="F143" s="8" t="s">
        <v>839</v>
      </c>
      <c r="G143" s="10" t="s">
        <v>840</v>
      </c>
      <c r="H143" s="8" t="s">
        <v>841</v>
      </c>
      <c r="I143" s="8" t="s">
        <v>158</v>
      </c>
      <c r="J143" s="8" t="s">
        <v>159</v>
      </c>
      <c r="K143" s="8" t="s">
        <v>160</v>
      </c>
      <c r="L143" s="8"/>
      <c r="M143" s="8" t="s">
        <v>86</v>
      </c>
      <c r="N143" s="8"/>
      <c r="O143" s="8" t="s">
        <v>87</v>
      </c>
      <c r="P143" s="8" t="s">
        <v>311</v>
      </c>
      <c r="Q143" s="8" t="s">
        <v>215</v>
      </c>
      <c r="R143" s="8" t="s">
        <v>160</v>
      </c>
      <c r="S143" s="8" t="s">
        <v>160</v>
      </c>
      <c r="T143" s="8" t="s">
        <v>842</v>
      </c>
    </row>
    <row r="144" customFormat="false" ht="15" hidden="false" customHeight="false" outlineLevel="0" collapsed="false">
      <c r="A144" s="8" t="s">
        <v>843</v>
      </c>
      <c r="B144" s="8" t="s">
        <v>844</v>
      </c>
      <c r="C144" s="8" t="s">
        <v>77</v>
      </c>
      <c r="D144" s="8" t="s">
        <v>845</v>
      </c>
      <c r="E144" s="9" t="n">
        <f aca="false">IF(C144="inhibition",-1,1)</f>
        <v>1</v>
      </c>
      <c r="F144" s="8" t="s">
        <v>846</v>
      </c>
      <c r="G144" s="10" t="s">
        <v>847</v>
      </c>
      <c r="H144" s="8" t="s">
        <v>848</v>
      </c>
      <c r="I144" s="8" t="s">
        <v>158</v>
      </c>
      <c r="J144" s="8" t="s">
        <v>83</v>
      </c>
      <c r="K144" s="8" t="s">
        <v>84</v>
      </c>
      <c r="L144" s="8" t="s">
        <v>849</v>
      </c>
      <c r="M144" s="8" t="s">
        <v>86</v>
      </c>
      <c r="N144" s="8"/>
      <c r="O144" s="8" t="s">
        <v>345</v>
      </c>
      <c r="P144" s="8" t="s">
        <v>214</v>
      </c>
      <c r="Q144" s="8" t="s">
        <v>589</v>
      </c>
      <c r="R144" s="8" t="s">
        <v>850</v>
      </c>
      <c r="S144" s="8" t="s">
        <v>84</v>
      </c>
      <c r="T144" s="8" t="s">
        <v>851</v>
      </c>
    </row>
    <row r="145" customFormat="false" ht="15" hidden="false" customHeight="false" outlineLevel="0" collapsed="false">
      <c r="A145" s="8" t="s">
        <v>852</v>
      </c>
      <c r="B145" s="8" t="s">
        <v>853</v>
      </c>
      <c r="C145" s="8" t="s">
        <v>77</v>
      </c>
      <c r="D145" s="8" t="s">
        <v>845</v>
      </c>
      <c r="E145" s="9" t="n">
        <f aca="false">IF(C145="inhibition",-1,1)</f>
        <v>1</v>
      </c>
      <c r="F145" s="8" t="s">
        <v>854</v>
      </c>
      <c r="G145" s="10" t="s">
        <v>855</v>
      </c>
      <c r="H145" s="8" t="s">
        <v>856</v>
      </c>
      <c r="I145" s="8" t="s">
        <v>158</v>
      </c>
      <c r="J145" s="8" t="s">
        <v>159</v>
      </c>
      <c r="K145" s="8" t="s">
        <v>160</v>
      </c>
      <c r="L145" s="8"/>
      <c r="M145" s="8" t="s">
        <v>86</v>
      </c>
      <c r="N145" s="8"/>
      <c r="O145" s="8" t="s">
        <v>124</v>
      </c>
      <c r="P145" s="8" t="s">
        <v>214</v>
      </c>
      <c r="Q145" s="8" t="s">
        <v>326</v>
      </c>
      <c r="R145" s="8" t="s">
        <v>160</v>
      </c>
      <c r="S145" s="8" t="s">
        <v>160</v>
      </c>
      <c r="T145" s="8" t="s">
        <v>857</v>
      </c>
    </row>
    <row r="146" customFormat="false" ht="15" hidden="false" customHeight="false" outlineLevel="0" collapsed="false">
      <c r="A146" s="8" t="s">
        <v>858</v>
      </c>
      <c r="B146" s="8" t="s">
        <v>219</v>
      </c>
      <c r="C146" s="8" t="s">
        <v>77</v>
      </c>
      <c r="D146" s="8" t="s">
        <v>859</v>
      </c>
      <c r="E146" s="9" t="n">
        <f aca="false">IF(C146="inhibition",-1,1)</f>
        <v>1</v>
      </c>
      <c r="F146" s="8" t="s">
        <v>860</v>
      </c>
      <c r="G146" s="10" t="s">
        <v>861</v>
      </c>
      <c r="H146" s="8"/>
      <c r="I146" s="8" t="s">
        <v>82</v>
      </c>
      <c r="J146" s="8" t="s">
        <v>106</v>
      </c>
      <c r="K146" s="8" t="s">
        <v>84</v>
      </c>
      <c r="L146" s="8"/>
      <c r="M146" s="8" t="s">
        <v>86</v>
      </c>
      <c r="N146" s="8"/>
      <c r="O146" s="8" t="s">
        <v>87</v>
      </c>
      <c r="P146" s="8" t="s">
        <v>116</v>
      </c>
      <c r="Q146" s="8" t="s">
        <v>97</v>
      </c>
      <c r="R146" s="8" t="s">
        <v>107</v>
      </c>
      <c r="S146" s="8" t="s">
        <v>99</v>
      </c>
      <c r="T146" s="8" t="s">
        <v>862</v>
      </c>
    </row>
    <row r="147" customFormat="false" ht="15" hidden="false" customHeight="false" outlineLevel="0" collapsed="false">
      <c r="A147" s="8" t="s">
        <v>863</v>
      </c>
      <c r="B147" s="8" t="s">
        <v>128</v>
      </c>
      <c r="C147" s="8" t="s">
        <v>77</v>
      </c>
      <c r="D147" s="8" t="s">
        <v>859</v>
      </c>
      <c r="E147" s="9" t="n">
        <f aca="false">IF(C147="inhibition",-1,1)</f>
        <v>1</v>
      </c>
      <c r="F147" s="8" t="s">
        <v>864</v>
      </c>
      <c r="G147" s="8"/>
      <c r="H147" s="8"/>
      <c r="I147" s="8" t="s">
        <v>82</v>
      </c>
      <c r="J147" s="8" t="s">
        <v>83</v>
      </c>
      <c r="K147" s="8" t="s">
        <v>84</v>
      </c>
      <c r="L147" s="8"/>
      <c r="M147" s="8" t="s">
        <v>213</v>
      </c>
      <c r="N147" s="8"/>
      <c r="O147" s="8" t="s">
        <v>87</v>
      </c>
      <c r="P147" s="8" t="s">
        <v>116</v>
      </c>
      <c r="Q147" s="8" t="s">
        <v>97</v>
      </c>
      <c r="R147" s="8" t="s">
        <v>98</v>
      </c>
      <c r="S147" s="8" t="s">
        <v>99</v>
      </c>
      <c r="T147" s="8" t="s">
        <v>865</v>
      </c>
    </row>
    <row r="148" customFormat="false" ht="15" hidden="false" customHeight="false" outlineLevel="0" collapsed="false">
      <c r="A148" s="8" t="s">
        <v>866</v>
      </c>
      <c r="B148" s="8" t="s">
        <v>426</v>
      </c>
      <c r="C148" s="8" t="s">
        <v>77</v>
      </c>
      <c r="D148" s="8" t="s">
        <v>859</v>
      </c>
      <c r="E148" s="9" t="n">
        <f aca="false">IF(C148="inhibition",-1,1)</f>
        <v>1</v>
      </c>
      <c r="F148" s="8" t="s">
        <v>867</v>
      </c>
      <c r="G148" s="10" t="s">
        <v>868</v>
      </c>
      <c r="H148" s="8" t="s">
        <v>869</v>
      </c>
      <c r="I148" s="8" t="s">
        <v>158</v>
      </c>
      <c r="J148" s="8" t="s">
        <v>159</v>
      </c>
      <c r="K148" s="8" t="s">
        <v>160</v>
      </c>
      <c r="L148" s="8"/>
      <c r="M148" s="8" t="s">
        <v>86</v>
      </c>
      <c r="N148" s="8"/>
      <c r="O148" s="8" t="s">
        <v>87</v>
      </c>
      <c r="P148" s="8" t="s">
        <v>116</v>
      </c>
      <c r="Q148" s="8" t="s">
        <v>215</v>
      </c>
      <c r="R148" s="8" t="s">
        <v>160</v>
      </c>
      <c r="S148" s="8" t="s">
        <v>160</v>
      </c>
      <c r="T148" s="8" t="s">
        <v>870</v>
      </c>
    </row>
    <row r="149" customFormat="false" ht="15" hidden="false" customHeight="false" outlineLevel="0" collapsed="false">
      <c r="A149" s="8" t="s">
        <v>871</v>
      </c>
      <c r="B149" s="8" t="s">
        <v>93</v>
      </c>
      <c r="C149" s="8" t="s">
        <v>144</v>
      </c>
      <c r="D149" s="8" t="s">
        <v>859</v>
      </c>
      <c r="E149" s="9" t="n">
        <f aca="false">IF(C149="inhibition",-1,1)</f>
        <v>-1</v>
      </c>
      <c r="F149" s="8" t="s">
        <v>666</v>
      </c>
      <c r="G149" s="10" t="s">
        <v>667</v>
      </c>
      <c r="H149" s="8" t="s">
        <v>668</v>
      </c>
      <c r="I149" s="8" t="s">
        <v>82</v>
      </c>
      <c r="J149" s="8" t="s">
        <v>83</v>
      </c>
      <c r="K149" s="8" t="s">
        <v>84</v>
      </c>
      <c r="L149" s="8"/>
      <c r="M149" s="8" t="s">
        <v>86</v>
      </c>
      <c r="N149" s="8"/>
      <c r="O149" s="8" t="s">
        <v>87</v>
      </c>
      <c r="P149" s="8" t="s">
        <v>116</v>
      </c>
      <c r="Q149" s="8" t="s">
        <v>97</v>
      </c>
      <c r="R149" s="8" t="s">
        <v>83</v>
      </c>
      <c r="S149" s="8" t="s">
        <v>99</v>
      </c>
      <c r="T149" s="8" t="s">
        <v>669</v>
      </c>
    </row>
    <row r="150" customFormat="false" ht="15" hidden="false" customHeight="false" outlineLevel="0" collapsed="false">
      <c r="A150" s="8" t="s">
        <v>872</v>
      </c>
      <c r="B150" s="8" t="s">
        <v>219</v>
      </c>
      <c r="C150" s="8" t="s">
        <v>77</v>
      </c>
      <c r="D150" s="8" t="s">
        <v>873</v>
      </c>
      <c r="E150" s="9" t="n">
        <f aca="false">IF(C150="inhibition",-1,1)</f>
        <v>1</v>
      </c>
      <c r="F150" s="8" t="s">
        <v>121</v>
      </c>
      <c r="G150" s="10" t="s">
        <v>122</v>
      </c>
      <c r="H150" s="8"/>
      <c r="I150" s="8" t="s">
        <v>82</v>
      </c>
      <c r="J150" s="8" t="s">
        <v>83</v>
      </c>
      <c r="K150" s="8" t="s">
        <v>84</v>
      </c>
      <c r="L150" s="8"/>
      <c r="M150" s="8" t="s">
        <v>86</v>
      </c>
      <c r="N150" s="8"/>
      <c r="O150" s="8" t="s">
        <v>87</v>
      </c>
      <c r="P150" s="8" t="s">
        <v>116</v>
      </c>
      <c r="Q150" s="8" t="s">
        <v>97</v>
      </c>
      <c r="R150" s="8" t="s">
        <v>117</v>
      </c>
      <c r="S150" s="8" t="s">
        <v>99</v>
      </c>
      <c r="T150" s="8" t="s">
        <v>510</v>
      </c>
    </row>
    <row r="151" customFormat="false" ht="15" hidden="false" customHeight="false" outlineLevel="0" collapsed="false">
      <c r="A151" s="8" t="s">
        <v>874</v>
      </c>
      <c r="B151" s="8" t="s">
        <v>128</v>
      </c>
      <c r="C151" s="8" t="s">
        <v>77</v>
      </c>
      <c r="D151" s="8" t="s">
        <v>873</v>
      </c>
      <c r="E151" s="9" t="n">
        <f aca="false">IF(C151="inhibition",-1,1)</f>
        <v>1</v>
      </c>
      <c r="F151" s="8" t="s">
        <v>864</v>
      </c>
      <c r="G151" s="8"/>
      <c r="H151" s="8"/>
      <c r="I151" s="8" t="s">
        <v>82</v>
      </c>
      <c r="J151" s="8" t="s">
        <v>83</v>
      </c>
      <c r="K151" s="8" t="s">
        <v>84</v>
      </c>
      <c r="L151" s="8"/>
      <c r="M151" s="8" t="s">
        <v>213</v>
      </c>
      <c r="N151" s="8"/>
      <c r="O151" s="8" t="s">
        <v>87</v>
      </c>
      <c r="P151" s="8" t="s">
        <v>116</v>
      </c>
      <c r="Q151" s="8" t="s">
        <v>97</v>
      </c>
      <c r="R151" s="8" t="s">
        <v>98</v>
      </c>
      <c r="S151" s="8" t="s">
        <v>99</v>
      </c>
      <c r="T151" s="8" t="s">
        <v>865</v>
      </c>
    </row>
    <row r="152" customFormat="false" ht="15" hidden="false" customHeight="false" outlineLevel="0" collapsed="false">
      <c r="A152" s="8" t="s">
        <v>875</v>
      </c>
      <c r="B152" s="8" t="s">
        <v>426</v>
      </c>
      <c r="C152" s="8" t="s">
        <v>77</v>
      </c>
      <c r="D152" s="8" t="s">
        <v>873</v>
      </c>
      <c r="E152" s="9" t="n">
        <f aca="false">IF(C152="inhibition",-1,1)</f>
        <v>1</v>
      </c>
      <c r="F152" s="8" t="s">
        <v>867</v>
      </c>
      <c r="G152" s="10" t="s">
        <v>868</v>
      </c>
      <c r="H152" s="8" t="s">
        <v>869</v>
      </c>
      <c r="I152" s="8" t="s">
        <v>158</v>
      </c>
      <c r="J152" s="8" t="s">
        <v>159</v>
      </c>
      <c r="K152" s="8" t="s">
        <v>160</v>
      </c>
      <c r="L152" s="8"/>
      <c r="M152" s="8" t="s">
        <v>86</v>
      </c>
      <c r="N152" s="8"/>
      <c r="O152" s="8" t="s">
        <v>87</v>
      </c>
      <c r="P152" s="8" t="s">
        <v>116</v>
      </c>
      <c r="Q152" s="8" t="s">
        <v>215</v>
      </c>
      <c r="R152" s="8" t="s">
        <v>160</v>
      </c>
      <c r="S152" s="8" t="s">
        <v>160</v>
      </c>
      <c r="T152" s="8" t="s">
        <v>870</v>
      </c>
    </row>
    <row r="153" customFormat="false" ht="15" hidden="false" customHeight="false" outlineLevel="0" collapsed="false">
      <c r="A153" s="8" t="s">
        <v>876</v>
      </c>
      <c r="B153" s="8" t="s">
        <v>93</v>
      </c>
      <c r="C153" s="8" t="s">
        <v>144</v>
      </c>
      <c r="D153" s="8" t="s">
        <v>873</v>
      </c>
      <c r="E153" s="9" t="n">
        <f aca="false">IF(C153="inhibition",-1,1)</f>
        <v>-1</v>
      </c>
      <c r="F153" s="8" t="s">
        <v>487</v>
      </c>
      <c r="G153" s="10" t="s">
        <v>488</v>
      </c>
      <c r="H153" s="8"/>
      <c r="I153" s="8" t="s">
        <v>82</v>
      </c>
      <c r="J153" s="8" t="s">
        <v>106</v>
      </c>
      <c r="K153" s="8" t="s">
        <v>84</v>
      </c>
      <c r="L153" s="8"/>
      <c r="M153" s="8" t="s">
        <v>86</v>
      </c>
      <c r="N153" s="8"/>
      <c r="O153" s="8" t="s">
        <v>87</v>
      </c>
      <c r="P153" s="8" t="s">
        <v>116</v>
      </c>
      <c r="Q153" s="8" t="s">
        <v>97</v>
      </c>
      <c r="R153" s="8" t="s">
        <v>430</v>
      </c>
      <c r="S153" s="8" t="s">
        <v>99</v>
      </c>
      <c r="T153" s="8" t="s">
        <v>489</v>
      </c>
    </row>
    <row r="154" customFormat="false" ht="15" hidden="false" customHeight="false" outlineLevel="0" collapsed="false">
      <c r="A154" s="8" t="s">
        <v>877</v>
      </c>
      <c r="B154" s="8" t="s">
        <v>219</v>
      </c>
      <c r="C154" s="8" t="s">
        <v>77</v>
      </c>
      <c r="D154" s="8" t="s">
        <v>878</v>
      </c>
      <c r="E154" s="9" t="n">
        <f aca="false">IF(C154="inhibition",-1,1)</f>
        <v>1</v>
      </c>
      <c r="F154" s="8" t="s">
        <v>879</v>
      </c>
      <c r="G154" s="10" t="s">
        <v>880</v>
      </c>
      <c r="H154" s="8" t="s">
        <v>881</v>
      </c>
      <c r="I154" s="8" t="s">
        <v>138</v>
      </c>
      <c r="J154" s="8" t="s">
        <v>83</v>
      </c>
      <c r="K154" s="8" t="s">
        <v>84</v>
      </c>
      <c r="L154" s="8"/>
      <c r="M154" s="8" t="s">
        <v>86</v>
      </c>
      <c r="N154" s="8"/>
      <c r="O154" s="8" t="s">
        <v>87</v>
      </c>
      <c r="P154" s="8" t="s">
        <v>116</v>
      </c>
      <c r="Q154" s="8" t="s">
        <v>190</v>
      </c>
      <c r="R154" s="8" t="s">
        <v>117</v>
      </c>
      <c r="S154" s="8" t="s">
        <v>99</v>
      </c>
      <c r="T154" s="8" t="s">
        <v>882</v>
      </c>
    </row>
    <row r="155" customFormat="false" ht="15" hidden="false" customHeight="false" outlineLevel="0" collapsed="false">
      <c r="A155" s="8" t="s">
        <v>883</v>
      </c>
      <c r="B155" s="8" t="s">
        <v>128</v>
      </c>
      <c r="C155" s="8" t="s">
        <v>77</v>
      </c>
      <c r="D155" s="8" t="s">
        <v>878</v>
      </c>
      <c r="E155" s="9" t="n">
        <f aca="false">IF(C155="inhibition",-1,1)</f>
        <v>1</v>
      </c>
      <c r="F155" s="8" t="s">
        <v>864</v>
      </c>
      <c r="G155" s="8"/>
      <c r="H155" s="8"/>
      <c r="I155" s="8" t="s">
        <v>82</v>
      </c>
      <c r="J155" s="8" t="s">
        <v>83</v>
      </c>
      <c r="K155" s="8" t="s">
        <v>84</v>
      </c>
      <c r="L155" s="8"/>
      <c r="M155" s="8" t="s">
        <v>213</v>
      </c>
      <c r="N155" s="8"/>
      <c r="O155" s="8" t="s">
        <v>87</v>
      </c>
      <c r="P155" s="8" t="s">
        <v>116</v>
      </c>
      <c r="Q155" s="8" t="s">
        <v>97</v>
      </c>
      <c r="R155" s="8" t="s">
        <v>98</v>
      </c>
      <c r="S155" s="8" t="s">
        <v>99</v>
      </c>
      <c r="T155" s="8" t="s">
        <v>865</v>
      </c>
    </row>
    <row r="156" customFormat="false" ht="15" hidden="false" customHeight="false" outlineLevel="0" collapsed="false">
      <c r="A156" s="8" t="s">
        <v>884</v>
      </c>
      <c r="B156" s="8" t="s">
        <v>219</v>
      </c>
      <c r="C156" s="8" t="s">
        <v>77</v>
      </c>
      <c r="D156" s="8" t="s">
        <v>885</v>
      </c>
      <c r="E156" s="9" t="n">
        <f aca="false">IF(C156="inhibition",-1,1)</f>
        <v>1</v>
      </c>
      <c r="F156" s="8" t="s">
        <v>886</v>
      </c>
      <c r="G156" s="8"/>
      <c r="H156" s="8"/>
      <c r="I156" s="8" t="s">
        <v>138</v>
      </c>
      <c r="J156" s="8" t="s">
        <v>83</v>
      </c>
      <c r="K156" s="8" t="s">
        <v>84</v>
      </c>
      <c r="L156" s="8"/>
      <c r="M156" s="8" t="s">
        <v>213</v>
      </c>
      <c r="N156" s="8"/>
      <c r="O156" s="8" t="s">
        <v>87</v>
      </c>
      <c r="P156" s="8" t="s">
        <v>214</v>
      </c>
      <c r="Q156" s="8" t="s">
        <v>190</v>
      </c>
      <c r="R156" s="8" t="s">
        <v>117</v>
      </c>
      <c r="S156" s="8" t="s">
        <v>99</v>
      </c>
      <c r="T156" s="8" t="s">
        <v>887</v>
      </c>
    </row>
    <row r="157" customFormat="false" ht="15" hidden="false" customHeight="false" outlineLevel="0" collapsed="false">
      <c r="A157" s="8" t="s">
        <v>888</v>
      </c>
      <c r="B157" s="8" t="s">
        <v>128</v>
      </c>
      <c r="C157" s="8" t="s">
        <v>77</v>
      </c>
      <c r="D157" s="8" t="s">
        <v>885</v>
      </c>
      <c r="E157" s="9" t="n">
        <f aca="false">IF(C157="inhibition",-1,1)</f>
        <v>1</v>
      </c>
      <c r="F157" s="8" t="s">
        <v>512</v>
      </c>
      <c r="G157" s="8"/>
      <c r="H157" s="8"/>
      <c r="I157" s="8" t="s">
        <v>82</v>
      </c>
      <c r="J157" s="8" t="s">
        <v>83</v>
      </c>
      <c r="K157" s="8" t="s">
        <v>84</v>
      </c>
      <c r="L157" s="8"/>
      <c r="M157" s="8" t="s">
        <v>213</v>
      </c>
      <c r="N157" s="8"/>
      <c r="O157" s="8" t="s">
        <v>87</v>
      </c>
      <c r="P157" s="8" t="s">
        <v>214</v>
      </c>
      <c r="Q157" s="8" t="s">
        <v>97</v>
      </c>
      <c r="R157" s="8" t="s">
        <v>83</v>
      </c>
      <c r="S157" s="8" t="s">
        <v>108</v>
      </c>
      <c r="T157" s="8" t="s">
        <v>513</v>
      </c>
    </row>
    <row r="158" customFormat="false" ht="15" hidden="false" customHeight="false" outlineLevel="0" collapsed="false">
      <c r="A158" s="8" t="s">
        <v>889</v>
      </c>
      <c r="B158" s="8" t="s">
        <v>335</v>
      </c>
      <c r="C158" s="8" t="s">
        <v>144</v>
      </c>
      <c r="D158" s="8" t="s">
        <v>885</v>
      </c>
      <c r="E158" s="9" t="n">
        <f aca="false">IF(C158="inhibition",-1,1)</f>
        <v>-1</v>
      </c>
      <c r="F158" s="8" t="s">
        <v>793</v>
      </c>
      <c r="G158" s="10" t="s">
        <v>794</v>
      </c>
      <c r="H158" s="8" t="s">
        <v>795</v>
      </c>
      <c r="I158" s="8" t="s">
        <v>138</v>
      </c>
      <c r="J158" s="8" t="s">
        <v>106</v>
      </c>
      <c r="K158" s="8" t="s">
        <v>160</v>
      </c>
      <c r="L158" s="8"/>
      <c r="M158" s="8" t="s">
        <v>86</v>
      </c>
      <c r="N158" s="8"/>
      <c r="O158" s="8" t="s">
        <v>87</v>
      </c>
      <c r="P158" s="8" t="s">
        <v>214</v>
      </c>
      <c r="Q158" s="8" t="s">
        <v>230</v>
      </c>
      <c r="R158" s="8" t="s">
        <v>466</v>
      </c>
      <c r="S158" s="8" t="s">
        <v>160</v>
      </c>
      <c r="T158" s="8" t="s">
        <v>796</v>
      </c>
    </row>
    <row r="159" customFormat="false" ht="15" hidden="false" customHeight="false" outlineLevel="0" collapsed="false">
      <c r="A159" s="8" t="s">
        <v>890</v>
      </c>
      <c r="B159" s="8" t="s">
        <v>891</v>
      </c>
      <c r="C159" s="8" t="s">
        <v>77</v>
      </c>
      <c r="D159" s="8" t="s">
        <v>351</v>
      </c>
      <c r="E159" s="9" t="n">
        <f aca="false">IF(C159="inhibition",-1,1)</f>
        <v>1</v>
      </c>
      <c r="F159" s="8" t="s">
        <v>558</v>
      </c>
      <c r="G159" s="10" t="s">
        <v>559</v>
      </c>
      <c r="H159" s="8" t="s">
        <v>560</v>
      </c>
      <c r="I159" s="8" t="s">
        <v>158</v>
      </c>
      <c r="J159" s="8" t="s">
        <v>159</v>
      </c>
      <c r="K159" s="8" t="s">
        <v>160</v>
      </c>
      <c r="L159" s="8"/>
      <c r="M159" s="8" t="s">
        <v>86</v>
      </c>
      <c r="N159" s="8"/>
      <c r="O159" s="8" t="s">
        <v>183</v>
      </c>
      <c r="P159" s="8" t="s">
        <v>183</v>
      </c>
      <c r="Q159" s="8" t="s">
        <v>160</v>
      </c>
      <c r="R159" s="8" t="s">
        <v>160</v>
      </c>
      <c r="S159" s="8" t="s">
        <v>160</v>
      </c>
      <c r="T159" s="8" t="s">
        <v>561</v>
      </c>
    </row>
    <row r="160" customFormat="false" ht="15" hidden="false" customHeight="false" outlineLevel="0" collapsed="false">
      <c r="A160" s="8" t="s">
        <v>892</v>
      </c>
      <c r="B160" s="8" t="s">
        <v>194</v>
      </c>
      <c r="C160" s="8" t="s">
        <v>77</v>
      </c>
      <c r="D160" s="8" t="s">
        <v>351</v>
      </c>
      <c r="E160" s="9" t="n">
        <f aca="false">IF(C160="inhibition",-1,1)</f>
        <v>1</v>
      </c>
      <c r="F160" s="8" t="s">
        <v>893</v>
      </c>
      <c r="G160" s="10" t="s">
        <v>894</v>
      </c>
      <c r="H160" s="8" t="s">
        <v>895</v>
      </c>
      <c r="I160" s="8" t="s">
        <v>158</v>
      </c>
      <c r="J160" s="8" t="s">
        <v>159</v>
      </c>
      <c r="K160" s="8" t="s">
        <v>160</v>
      </c>
      <c r="L160" s="8" t="s">
        <v>896</v>
      </c>
      <c r="M160" s="8" t="s">
        <v>86</v>
      </c>
      <c r="N160" s="8"/>
      <c r="O160" s="8" t="s">
        <v>199</v>
      </c>
      <c r="P160" s="8" t="s">
        <v>183</v>
      </c>
      <c r="Q160" s="8" t="s">
        <v>160</v>
      </c>
      <c r="R160" s="8" t="s">
        <v>160</v>
      </c>
      <c r="S160" s="8" t="s">
        <v>160</v>
      </c>
      <c r="T160" s="8" t="s">
        <v>897</v>
      </c>
    </row>
    <row r="161" customFormat="false" ht="15" hidden="false" customHeight="false" outlineLevel="0" collapsed="false">
      <c r="A161" s="8" t="s">
        <v>898</v>
      </c>
      <c r="B161" s="8" t="s">
        <v>366</v>
      </c>
      <c r="C161" s="8" t="s">
        <v>144</v>
      </c>
      <c r="D161" s="8" t="s">
        <v>351</v>
      </c>
      <c r="E161" s="9" t="n">
        <f aca="false">IF(C161="inhibition",-1,1)</f>
        <v>-1</v>
      </c>
      <c r="F161" s="8" t="s">
        <v>899</v>
      </c>
      <c r="G161" s="10" t="s">
        <v>900</v>
      </c>
      <c r="H161" s="8" t="s">
        <v>901</v>
      </c>
      <c r="I161" s="8" t="s">
        <v>158</v>
      </c>
      <c r="J161" s="8" t="s">
        <v>159</v>
      </c>
      <c r="K161" s="8" t="s">
        <v>160</v>
      </c>
      <c r="L161" s="8"/>
      <c r="M161" s="8" t="s">
        <v>86</v>
      </c>
      <c r="N161" s="8"/>
      <c r="O161" s="8" t="s">
        <v>183</v>
      </c>
      <c r="P161" s="8" t="s">
        <v>183</v>
      </c>
      <c r="Q161" s="8" t="s">
        <v>215</v>
      </c>
      <c r="R161" s="8" t="s">
        <v>160</v>
      </c>
      <c r="S161" s="8" t="s">
        <v>160</v>
      </c>
      <c r="T161" s="8" t="s">
        <v>902</v>
      </c>
    </row>
    <row r="162" customFormat="false" ht="15" hidden="false" customHeight="false" outlineLevel="0" collapsed="false">
      <c r="A162" s="8" t="s">
        <v>903</v>
      </c>
      <c r="B162" s="8" t="s">
        <v>170</v>
      </c>
      <c r="C162" s="8" t="s">
        <v>77</v>
      </c>
      <c r="D162" s="8" t="s">
        <v>904</v>
      </c>
      <c r="E162" s="9" t="n">
        <f aca="false">IF(C162="inhibition",-1,1)</f>
        <v>1</v>
      </c>
      <c r="F162" s="8" t="s">
        <v>905</v>
      </c>
      <c r="G162" s="8"/>
      <c r="H162" s="8"/>
      <c r="I162" s="8" t="s">
        <v>138</v>
      </c>
      <c r="J162" s="8" t="s">
        <v>83</v>
      </c>
      <c r="K162" s="8" t="s">
        <v>84</v>
      </c>
      <c r="L162" s="8"/>
      <c r="M162" s="8" t="s">
        <v>213</v>
      </c>
      <c r="N162" s="8"/>
      <c r="O162" s="8" t="s">
        <v>151</v>
      </c>
      <c r="P162" s="8" t="s">
        <v>214</v>
      </c>
      <c r="Q162" s="8" t="s">
        <v>190</v>
      </c>
      <c r="R162" s="8" t="s">
        <v>117</v>
      </c>
      <c r="S162" s="8" t="s">
        <v>99</v>
      </c>
      <c r="T162" s="8" t="s">
        <v>906</v>
      </c>
    </row>
    <row r="163" customFormat="false" ht="15" hidden="false" customHeight="false" outlineLevel="0" collapsed="false">
      <c r="A163" s="8" t="s">
        <v>907</v>
      </c>
      <c r="B163" s="8" t="s">
        <v>845</v>
      </c>
      <c r="C163" s="8" t="s">
        <v>144</v>
      </c>
      <c r="D163" s="8" t="s">
        <v>904</v>
      </c>
      <c r="E163" s="9" t="n">
        <f aca="false">IF(C163="inhibition",-1,1)</f>
        <v>-1</v>
      </c>
      <c r="F163" s="8" t="s">
        <v>908</v>
      </c>
      <c r="G163" s="10" t="s">
        <v>909</v>
      </c>
      <c r="H163" s="8" t="s">
        <v>910</v>
      </c>
      <c r="I163" s="8" t="s">
        <v>82</v>
      </c>
      <c r="J163" s="8" t="s">
        <v>83</v>
      </c>
      <c r="K163" s="8" t="s">
        <v>499</v>
      </c>
      <c r="L163" s="8"/>
      <c r="M163" s="8" t="s">
        <v>86</v>
      </c>
      <c r="N163" s="8"/>
      <c r="O163" s="8" t="s">
        <v>214</v>
      </c>
      <c r="P163" s="8" t="s">
        <v>214</v>
      </c>
      <c r="Q163" s="8" t="s">
        <v>500</v>
      </c>
      <c r="R163" s="8" t="s">
        <v>117</v>
      </c>
      <c r="S163" s="8" t="s">
        <v>501</v>
      </c>
      <c r="T163" s="8" t="s">
        <v>911</v>
      </c>
    </row>
    <row r="164" customFormat="false" ht="15" hidden="false" customHeight="false" outlineLevel="0" collapsed="false">
      <c r="A164" s="8" t="s">
        <v>912</v>
      </c>
      <c r="B164" s="8" t="s">
        <v>602</v>
      </c>
      <c r="C164" s="8" t="s">
        <v>77</v>
      </c>
      <c r="D164" s="8" t="s">
        <v>120</v>
      </c>
      <c r="E164" s="9" t="n">
        <f aca="false">IF(C164="inhibition",-1,1)</f>
        <v>1</v>
      </c>
      <c r="F164" s="8" t="s">
        <v>913</v>
      </c>
      <c r="G164" s="10" t="s">
        <v>914</v>
      </c>
      <c r="H164" s="8" t="s">
        <v>915</v>
      </c>
      <c r="I164" s="8" t="s">
        <v>138</v>
      </c>
      <c r="J164" s="8" t="s">
        <v>83</v>
      </c>
      <c r="K164" s="8" t="s">
        <v>84</v>
      </c>
      <c r="L164" s="8"/>
      <c r="M164" s="8" t="s">
        <v>86</v>
      </c>
      <c r="N164" s="8"/>
      <c r="O164" s="8" t="s">
        <v>443</v>
      </c>
      <c r="P164" s="8" t="s">
        <v>124</v>
      </c>
      <c r="Q164" s="8" t="s">
        <v>190</v>
      </c>
      <c r="R164" s="8" t="s">
        <v>117</v>
      </c>
      <c r="S164" s="8" t="s">
        <v>125</v>
      </c>
      <c r="T164" s="8" t="s">
        <v>916</v>
      </c>
    </row>
    <row r="165" customFormat="false" ht="15" hidden="false" customHeight="false" outlineLevel="0" collapsed="false">
      <c r="A165" s="8" t="s">
        <v>917</v>
      </c>
      <c r="B165" s="8" t="s">
        <v>918</v>
      </c>
      <c r="C165" s="8" t="s">
        <v>77</v>
      </c>
      <c r="D165" s="8" t="s">
        <v>120</v>
      </c>
      <c r="E165" s="9" t="n">
        <f aca="false">IF(C165="inhibition",-1,1)</f>
        <v>1</v>
      </c>
      <c r="F165" s="8" t="s">
        <v>919</v>
      </c>
      <c r="G165" s="10" t="s">
        <v>920</v>
      </c>
      <c r="H165" s="8" t="s">
        <v>921</v>
      </c>
      <c r="I165" s="8" t="s">
        <v>158</v>
      </c>
      <c r="J165" s="8" t="s">
        <v>159</v>
      </c>
      <c r="K165" s="8" t="s">
        <v>160</v>
      </c>
      <c r="L165" s="8"/>
      <c r="M165" s="8" t="s">
        <v>86</v>
      </c>
      <c r="N165" s="8"/>
      <c r="O165" s="8" t="s">
        <v>124</v>
      </c>
      <c r="P165" s="8" t="s">
        <v>124</v>
      </c>
      <c r="Q165" s="8" t="s">
        <v>160</v>
      </c>
      <c r="R165" s="8" t="s">
        <v>160</v>
      </c>
      <c r="S165" s="8" t="s">
        <v>160</v>
      </c>
      <c r="T165" s="8" t="s">
        <v>922</v>
      </c>
    </row>
    <row r="166" customFormat="false" ht="15" hidden="false" customHeight="false" outlineLevel="0" collapsed="false">
      <c r="A166" s="8" t="s">
        <v>923</v>
      </c>
      <c r="B166" s="8" t="s">
        <v>194</v>
      </c>
      <c r="C166" s="8" t="s">
        <v>77</v>
      </c>
      <c r="D166" s="8" t="s">
        <v>120</v>
      </c>
      <c r="E166" s="9" t="n">
        <f aca="false">IF(C166="inhibition",-1,1)</f>
        <v>1</v>
      </c>
      <c r="F166" s="8" t="s">
        <v>924</v>
      </c>
      <c r="G166" s="10" t="s">
        <v>925</v>
      </c>
      <c r="H166" s="8" t="s">
        <v>926</v>
      </c>
      <c r="I166" s="8" t="s">
        <v>82</v>
      </c>
      <c r="J166" s="8" t="s">
        <v>106</v>
      </c>
      <c r="K166" s="8" t="s">
        <v>160</v>
      </c>
      <c r="L166" s="8"/>
      <c r="M166" s="8" t="s">
        <v>86</v>
      </c>
      <c r="N166" s="8" t="s">
        <v>927</v>
      </c>
      <c r="O166" s="8" t="s">
        <v>199</v>
      </c>
      <c r="P166" s="8" t="s">
        <v>124</v>
      </c>
      <c r="Q166" s="8" t="s">
        <v>97</v>
      </c>
      <c r="R166" s="8" t="s">
        <v>107</v>
      </c>
      <c r="S166" s="8" t="s">
        <v>160</v>
      </c>
      <c r="T166" s="8" t="s">
        <v>928</v>
      </c>
    </row>
    <row r="167" customFormat="false" ht="15" hidden="false" customHeight="false" outlineLevel="0" collapsed="false">
      <c r="A167" s="8" t="s">
        <v>929</v>
      </c>
      <c r="B167" s="8" t="s">
        <v>681</v>
      </c>
      <c r="C167" s="8" t="s">
        <v>77</v>
      </c>
      <c r="D167" s="8" t="s">
        <v>930</v>
      </c>
      <c r="E167" s="9" t="n">
        <f aca="false">IF(C167="inhibition",-1,1)</f>
        <v>1</v>
      </c>
      <c r="F167" s="8" t="s">
        <v>931</v>
      </c>
      <c r="G167" s="10" t="s">
        <v>932</v>
      </c>
      <c r="H167" s="8" t="s">
        <v>933</v>
      </c>
      <c r="I167" s="8" t="s">
        <v>138</v>
      </c>
      <c r="J167" s="8" t="s">
        <v>106</v>
      </c>
      <c r="K167" s="8" t="s">
        <v>84</v>
      </c>
      <c r="L167" s="8"/>
      <c r="M167" s="8" t="s">
        <v>86</v>
      </c>
      <c r="N167" s="8"/>
      <c r="O167" s="8" t="s">
        <v>443</v>
      </c>
      <c r="P167" s="8" t="s">
        <v>443</v>
      </c>
      <c r="Q167" s="8" t="s">
        <v>230</v>
      </c>
      <c r="R167" s="8" t="s">
        <v>107</v>
      </c>
      <c r="S167" s="8" t="s">
        <v>99</v>
      </c>
      <c r="T167" s="8" t="s">
        <v>934</v>
      </c>
    </row>
    <row r="168" customFormat="false" ht="15" hidden="false" customHeight="false" outlineLevel="0" collapsed="false">
      <c r="A168" s="8" t="s">
        <v>935</v>
      </c>
      <c r="B168" s="8" t="s">
        <v>936</v>
      </c>
      <c r="C168" s="8" t="s">
        <v>144</v>
      </c>
      <c r="D168" s="8" t="s">
        <v>930</v>
      </c>
      <c r="E168" s="9" t="n">
        <f aca="false">IF(C168="inhibition",-1,1)</f>
        <v>-1</v>
      </c>
      <c r="F168" s="8" t="s">
        <v>937</v>
      </c>
      <c r="G168" s="10" t="s">
        <v>938</v>
      </c>
      <c r="H168" s="8" t="s">
        <v>939</v>
      </c>
      <c r="I168" s="8" t="s">
        <v>158</v>
      </c>
      <c r="J168" s="8" t="s">
        <v>159</v>
      </c>
      <c r="K168" s="8" t="s">
        <v>160</v>
      </c>
      <c r="L168" s="8"/>
      <c r="M168" s="8" t="s">
        <v>549</v>
      </c>
      <c r="N168" s="8"/>
      <c r="O168" s="8" t="s">
        <v>443</v>
      </c>
      <c r="P168" s="8" t="s">
        <v>443</v>
      </c>
      <c r="Q168" s="8" t="s">
        <v>215</v>
      </c>
      <c r="R168" s="8" t="s">
        <v>160</v>
      </c>
      <c r="S168" s="8" t="s">
        <v>160</v>
      </c>
      <c r="T168" s="8" t="s">
        <v>940</v>
      </c>
    </row>
    <row r="169" customFormat="false" ht="15" hidden="false" customHeight="false" outlineLevel="0" collapsed="false">
      <c r="A169" s="8" t="s">
        <v>941</v>
      </c>
      <c r="B169" s="8" t="s">
        <v>942</v>
      </c>
      <c r="C169" s="8" t="s">
        <v>144</v>
      </c>
      <c r="D169" s="8" t="s">
        <v>930</v>
      </c>
      <c r="E169" s="9" t="n">
        <f aca="false">IF(C169="inhibition",-1,1)</f>
        <v>-1</v>
      </c>
      <c r="F169" s="8" t="s">
        <v>937</v>
      </c>
      <c r="G169" s="10" t="s">
        <v>938</v>
      </c>
      <c r="H169" s="8" t="s">
        <v>939</v>
      </c>
      <c r="I169" s="8" t="s">
        <v>158</v>
      </c>
      <c r="J169" s="8" t="s">
        <v>159</v>
      </c>
      <c r="K169" s="8" t="s">
        <v>160</v>
      </c>
      <c r="L169" s="8"/>
      <c r="M169" s="8" t="s">
        <v>549</v>
      </c>
      <c r="N169" s="8"/>
      <c r="O169" s="8" t="s">
        <v>443</v>
      </c>
      <c r="P169" s="8" t="s">
        <v>443</v>
      </c>
      <c r="Q169" s="8" t="s">
        <v>215</v>
      </c>
      <c r="R169" s="8" t="s">
        <v>160</v>
      </c>
      <c r="S169" s="8" t="s">
        <v>160</v>
      </c>
      <c r="T169" s="8" t="s">
        <v>940</v>
      </c>
    </row>
    <row r="170" customFormat="false" ht="15" hidden="false" customHeight="false" outlineLevel="0" collapsed="false">
      <c r="A170" s="8" t="s">
        <v>943</v>
      </c>
      <c r="B170" s="8" t="s">
        <v>944</v>
      </c>
      <c r="C170" s="8" t="s">
        <v>77</v>
      </c>
      <c r="D170" s="8" t="s">
        <v>945</v>
      </c>
      <c r="E170" s="9" t="n">
        <f aca="false">IF(C170="inhibition",-1,1)</f>
        <v>1</v>
      </c>
      <c r="F170" s="8" t="s">
        <v>946</v>
      </c>
      <c r="G170" s="10" t="s">
        <v>947</v>
      </c>
      <c r="H170" s="8" t="s">
        <v>948</v>
      </c>
      <c r="I170" s="8" t="s">
        <v>158</v>
      </c>
      <c r="J170" s="8" t="s">
        <v>159</v>
      </c>
      <c r="K170" s="8" t="s">
        <v>160</v>
      </c>
      <c r="L170" s="8" t="s">
        <v>949</v>
      </c>
      <c r="M170" s="8" t="s">
        <v>86</v>
      </c>
      <c r="N170" s="8"/>
      <c r="O170" s="8" t="s">
        <v>443</v>
      </c>
      <c r="P170" s="8" t="s">
        <v>214</v>
      </c>
      <c r="Q170" s="8" t="s">
        <v>160</v>
      </c>
      <c r="R170" s="8" t="s">
        <v>160</v>
      </c>
      <c r="S170" s="8" t="s">
        <v>160</v>
      </c>
      <c r="T170" s="8" t="s">
        <v>950</v>
      </c>
    </row>
    <row r="171" customFormat="false" ht="15" hidden="false" customHeight="false" outlineLevel="0" collapsed="false">
      <c r="A171" s="8" t="s">
        <v>951</v>
      </c>
      <c r="B171" s="8" t="s">
        <v>936</v>
      </c>
      <c r="C171" s="8" t="s">
        <v>77</v>
      </c>
      <c r="D171" s="8" t="s">
        <v>945</v>
      </c>
      <c r="E171" s="9" t="n">
        <f aca="false">IF(C171="inhibition",-1,1)</f>
        <v>1</v>
      </c>
      <c r="F171" s="8" t="s">
        <v>952</v>
      </c>
      <c r="G171" s="10" t="s">
        <v>953</v>
      </c>
      <c r="H171" s="8" t="s">
        <v>954</v>
      </c>
      <c r="I171" s="8" t="s">
        <v>82</v>
      </c>
      <c r="J171" s="8" t="s">
        <v>83</v>
      </c>
      <c r="K171" s="8" t="s">
        <v>84</v>
      </c>
      <c r="L171" s="8"/>
      <c r="M171" s="8" t="s">
        <v>86</v>
      </c>
      <c r="N171" s="8"/>
      <c r="O171" s="8" t="s">
        <v>443</v>
      </c>
      <c r="P171" s="8" t="s">
        <v>214</v>
      </c>
      <c r="Q171" s="8" t="s">
        <v>97</v>
      </c>
      <c r="R171" s="8" t="s">
        <v>83</v>
      </c>
      <c r="S171" s="8" t="s">
        <v>99</v>
      </c>
      <c r="T171" s="8" t="s">
        <v>955</v>
      </c>
    </row>
    <row r="172" customFormat="false" ht="15" hidden="false" customHeight="false" outlineLevel="0" collapsed="false">
      <c r="A172" s="8" t="s">
        <v>956</v>
      </c>
      <c r="B172" s="8" t="s">
        <v>942</v>
      </c>
      <c r="C172" s="8" t="s">
        <v>77</v>
      </c>
      <c r="D172" s="8" t="s">
        <v>945</v>
      </c>
      <c r="E172" s="9" t="n">
        <f aca="false">IF(C172="inhibition",-1,1)</f>
        <v>1</v>
      </c>
      <c r="F172" s="8" t="s">
        <v>952</v>
      </c>
      <c r="G172" s="10" t="s">
        <v>953</v>
      </c>
      <c r="H172" s="8" t="s">
        <v>954</v>
      </c>
      <c r="I172" s="8" t="s">
        <v>82</v>
      </c>
      <c r="J172" s="8" t="s">
        <v>83</v>
      </c>
      <c r="K172" s="8" t="s">
        <v>84</v>
      </c>
      <c r="L172" s="8"/>
      <c r="M172" s="8" t="s">
        <v>86</v>
      </c>
      <c r="N172" s="8"/>
      <c r="O172" s="8" t="s">
        <v>443</v>
      </c>
      <c r="P172" s="8" t="s">
        <v>214</v>
      </c>
      <c r="Q172" s="8" t="s">
        <v>97</v>
      </c>
      <c r="R172" s="8" t="s">
        <v>83</v>
      </c>
      <c r="S172" s="8" t="s">
        <v>99</v>
      </c>
      <c r="T172" s="8" t="s">
        <v>955</v>
      </c>
    </row>
    <row r="173" customFormat="false" ht="15" hidden="false" customHeight="false" outlineLevel="0" collapsed="false">
      <c r="A173" s="8" t="s">
        <v>957</v>
      </c>
      <c r="B173" s="8" t="s">
        <v>178</v>
      </c>
      <c r="C173" s="8" t="s">
        <v>144</v>
      </c>
      <c r="D173" s="8" t="s">
        <v>945</v>
      </c>
      <c r="E173" s="9" t="n">
        <f aca="false">IF(C173="inhibition",-1,1)</f>
        <v>-1</v>
      </c>
      <c r="F173" s="8" t="s">
        <v>958</v>
      </c>
      <c r="G173" s="10" t="s">
        <v>959</v>
      </c>
      <c r="H173" s="8" t="s">
        <v>960</v>
      </c>
      <c r="I173" s="8" t="s">
        <v>158</v>
      </c>
      <c r="J173" s="8" t="s">
        <v>159</v>
      </c>
      <c r="K173" s="8" t="s">
        <v>160</v>
      </c>
      <c r="L173" s="8"/>
      <c r="M173" s="8" t="s">
        <v>86</v>
      </c>
      <c r="N173" s="8"/>
      <c r="O173" s="8" t="s">
        <v>151</v>
      </c>
      <c r="P173" s="8" t="s">
        <v>214</v>
      </c>
      <c r="Q173" s="8" t="s">
        <v>215</v>
      </c>
      <c r="R173" s="8" t="s">
        <v>160</v>
      </c>
      <c r="S173" s="8" t="s">
        <v>160</v>
      </c>
      <c r="T173" s="8" t="s">
        <v>961</v>
      </c>
    </row>
    <row r="174" customFormat="false" ht="15" hidden="false" customHeight="false" outlineLevel="0" collapsed="false">
      <c r="A174" s="8" t="s">
        <v>962</v>
      </c>
      <c r="B174" s="8" t="s">
        <v>352</v>
      </c>
      <c r="C174" s="8" t="s">
        <v>77</v>
      </c>
      <c r="D174" s="8" t="s">
        <v>584</v>
      </c>
      <c r="E174" s="9" t="n">
        <f aca="false">IF(C174="inhibition",-1,1)</f>
        <v>1</v>
      </c>
      <c r="F174" s="8" t="s">
        <v>963</v>
      </c>
      <c r="G174" s="10" t="s">
        <v>964</v>
      </c>
      <c r="H174" s="8" t="s">
        <v>965</v>
      </c>
      <c r="I174" s="8" t="s">
        <v>158</v>
      </c>
      <c r="J174" s="8" t="s">
        <v>159</v>
      </c>
      <c r="K174" s="8" t="s">
        <v>160</v>
      </c>
      <c r="L174" s="8"/>
      <c r="M174" s="8" t="s">
        <v>86</v>
      </c>
      <c r="N174" s="8"/>
      <c r="O174" s="8" t="s">
        <v>183</v>
      </c>
      <c r="P174" s="8" t="s">
        <v>214</v>
      </c>
      <c r="Q174" s="8" t="s">
        <v>215</v>
      </c>
      <c r="R174" s="8" t="s">
        <v>160</v>
      </c>
      <c r="S174" s="8" t="s">
        <v>160</v>
      </c>
      <c r="T174" s="8" t="s">
        <v>966</v>
      </c>
    </row>
    <row r="175" customFormat="false" ht="15" hidden="false" customHeight="false" outlineLevel="0" collapsed="false">
      <c r="A175" s="8" t="s">
        <v>967</v>
      </c>
      <c r="B175" s="8" t="s">
        <v>194</v>
      </c>
      <c r="C175" s="8" t="s">
        <v>77</v>
      </c>
      <c r="D175" s="8" t="s">
        <v>584</v>
      </c>
      <c r="E175" s="9" t="n">
        <f aca="false">IF(C175="inhibition",-1,1)</f>
        <v>1</v>
      </c>
      <c r="F175" s="8" t="s">
        <v>268</v>
      </c>
      <c r="G175" s="10" t="s">
        <v>269</v>
      </c>
      <c r="H175" s="8" t="s">
        <v>270</v>
      </c>
      <c r="I175" s="8" t="s">
        <v>82</v>
      </c>
      <c r="J175" s="8" t="s">
        <v>83</v>
      </c>
      <c r="K175" s="8" t="s">
        <v>84</v>
      </c>
      <c r="L175" s="8"/>
      <c r="M175" s="8" t="s">
        <v>86</v>
      </c>
      <c r="N175" s="8"/>
      <c r="O175" s="8" t="s">
        <v>199</v>
      </c>
      <c r="P175" s="8" t="s">
        <v>214</v>
      </c>
      <c r="Q175" s="8" t="s">
        <v>97</v>
      </c>
      <c r="R175" s="8" t="s">
        <v>83</v>
      </c>
      <c r="S175" s="8" t="s">
        <v>99</v>
      </c>
      <c r="T175" s="8" t="s">
        <v>271</v>
      </c>
    </row>
    <row r="176" customFormat="false" ht="15" hidden="false" customHeight="false" outlineLevel="0" collapsed="false">
      <c r="A176" s="8" t="s">
        <v>968</v>
      </c>
      <c r="B176" s="8" t="s">
        <v>969</v>
      </c>
      <c r="C176" s="8" t="s">
        <v>77</v>
      </c>
      <c r="D176" s="8" t="s">
        <v>593</v>
      </c>
      <c r="E176" s="9" t="n">
        <f aca="false">IF(C176="inhibition",-1,1)</f>
        <v>1</v>
      </c>
      <c r="F176" s="8" t="s">
        <v>970</v>
      </c>
      <c r="G176" s="10" t="s">
        <v>971</v>
      </c>
      <c r="H176" s="8" t="s">
        <v>972</v>
      </c>
      <c r="I176" s="8" t="s">
        <v>158</v>
      </c>
      <c r="J176" s="8" t="s">
        <v>159</v>
      </c>
      <c r="K176" s="8" t="s">
        <v>160</v>
      </c>
      <c r="L176" s="8"/>
      <c r="M176" s="8" t="s">
        <v>86</v>
      </c>
      <c r="N176" s="8"/>
      <c r="O176" s="8" t="s">
        <v>124</v>
      </c>
      <c r="P176" s="8" t="s">
        <v>124</v>
      </c>
      <c r="Q176" s="8" t="s">
        <v>973</v>
      </c>
      <c r="R176" s="8" t="s">
        <v>160</v>
      </c>
      <c r="S176" s="8" t="s">
        <v>160</v>
      </c>
      <c r="T176" s="8" t="s">
        <v>974</v>
      </c>
    </row>
    <row r="177" customFormat="false" ht="15" hidden="false" customHeight="false" outlineLevel="0" collapsed="false">
      <c r="A177" s="8" t="s">
        <v>975</v>
      </c>
      <c r="B177" s="8" t="s">
        <v>976</v>
      </c>
      <c r="C177" s="8" t="s">
        <v>77</v>
      </c>
      <c r="D177" s="8" t="s">
        <v>599</v>
      </c>
      <c r="E177" s="9" t="n">
        <f aca="false">IF(C177="inhibition",-1,1)</f>
        <v>1</v>
      </c>
      <c r="F177" s="8" t="s">
        <v>970</v>
      </c>
      <c r="G177" s="10" t="s">
        <v>971</v>
      </c>
      <c r="H177" s="8" t="s">
        <v>972</v>
      </c>
      <c r="I177" s="8" t="s">
        <v>158</v>
      </c>
      <c r="J177" s="8" t="s">
        <v>159</v>
      </c>
      <c r="K177" s="8" t="s">
        <v>160</v>
      </c>
      <c r="L177" s="8"/>
      <c r="M177" s="8" t="s">
        <v>86</v>
      </c>
      <c r="N177" s="8"/>
      <c r="O177" s="8" t="s">
        <v>124</v>
      </c>
      <c r="P177" s="8" t="s">
        <v>124</v>
      </c>
      <c r="Q177" s="8" t="s">
        <v>973</v>
      </c>
      <c r="R177" s="8" t="s">
        <v>160</v>
      </c>
      <c r="S177" s="8" t="s">
        <v>160</v>
      </c>
      <c r="T177" s="8" t="s">
        <v>974</v>
      </c>
    </row>
    <row r="178" customFormat="false" ht="15" hidden="false" customHeight="false" outlineLevel="0" collapsed="false">
      <c r="A178" s="8" t="s">
        <v>977</v>
      </c>
      <c r="B178" s="8" t="s">
        <v>584</v>
      </c>
      <c r="C178" s="8" t="s">
        <v>77</v>
      </c>
      <c r="D178" s="8" t="s">
        <v>978</v>
      </c>
      <c r="E178" s="9" t="n">
        <f aca="false">IF(C178="inhibition",-1,1)</f>
        <v>1</v>
      </c>
      <c r="F178" s="8" t="s">
        <v>979</v>
      </c>
      <c r="G178" s="10" t="s">
        <v>980</v>
      </c>
      <c r="H178" s="8" t="s">
        <v>981</v>
      </c>
      <c r="I178" s="8" t="s">
        <v>158</v>
      </c>
      <c r="J178" s="8" t="s">
        <v>159</v>
      </c>
      <c r="K178" s="8" t="s">
        <v>160</v>
      </c>
      <c r="L178" s="8"/>
      <c r="M178" s="8" t="s">
        <v>86</v>
      </c>
      <c r="N178" s="8"/>
      <c r="O178" s="8" t="s">
        <v>214</v>
      </c>
      <c r="P178" s="8" t="s">
        <v>124</v>
      </c>
      <c r="Q178" s="8" t="s">
        <v>160</v>
      </c>
      <c r="R178" s="8" t="s">
        <v>160</v>
      </c>
      <c r="S178" s="8" t="s">
        <v>160</v>
      </c>
      <c r="T178" s="8" t="s">
        <v>982</v>
      </c>
    </row>
    <row r="179" customFormat="false" ht="15" hidden="false" customHeight="false" outlineLevel="0" collapsed="false">
      <c r="A179" s="8" t="s">
        <v>983</v>
      </c>
      <c r="B179" s="8" t="s">
        <v>584</v>
      </c>
      <c r="C179" s="8" t="s">
        <v>77</v>
      </c>
      <c r="D179" s="8" t="s">
        <v>918</v>
      </c>
      <c r="E179" s="9" t="n">
        <f aca="false">IF(C179="inhibition",-1,1)</f>
        <v>1</v>
      </c>
      <c r="F179" s="8" t="s">
        <v>919</v>
      </c>
      <c r="G179" s="10" t="s">
        <v>920</v>
      </c>
      <c r="H179" s="8" t="s">
        <v>921</v>
      </c>
      <c r="I179" s="8" t="s">
        <v>158</v>
      </c>
      <c r="J179" s="8" t="s">
        <v>159</v>
      </c>
      <c r="K179" s="8" t="s">
        <v>160</v>
      </c>
      <c r="L179" s="8"/>
      <c r="M179" s="8" t="s">
        <v>86</v>
      </c>
      <c r="N179" s="8"/>
      <c r="O179" s="8" t="s">
        <v>214</v>
      </c>
      <c r="P179" s="8" t="s">
        <v>124</v>
      </c>
      <c r="Q179" s="8" t="s">
        <v>160</v>
      </c>
      <c r="R179" s="8" t="s">
        <v>160</v>
      </c>
      <c r="S179" s="8" t="s">
        <v>160</v>
      </c>
      <c r="T179" s="8" t="s">
        <v>922</v>
      </c>
    </row>
    <row r="180" customFormat="false" ht="15" hidden="false" customHeight="false" outlineLevel="0" collapsed="false">
      <c r="A180" s="8" t="s">
        <v>984</v>
      </c>
      <c r="B180" s="8" t="s">
        <v>219</v>
      </c>
      <c r="C180" s="8" t="s">
        <v>77</v>
      </c>
      <c r="D180" s="8" t="s">
        <v>985</v>
      </c>
      <c r="E180" s="9" t="n">
        <f aca="false">IF(C180="inhibition",-1,1)</f>
        <v>1</v>
      </c>
      <c r="F180" s="8" t="s">
        <v>986</v>
      </c>
      <c r="G180" s="10" t="s">
        <v>987</v>
      </c>
      <c r="H180" s="8" t="s">
        <v>988</v>
      </c>
      <c r="I180" s="8" t="s">
        <v>138</v>
      </c>
      <c r="J180" s="8" t="s">
        <v>83</v>
      </c>
      <c r="K180" s="8" t="s">
        <v>84</v>
      </c>
      <c r="L180" s="8"/>
      <c r="M180" s="8" t="s">
        <v>86</v>
      </c>
      <c r="N180" s="8"/>
      <c r="O180" s="8" t="s">
        <v>87</v>
      </c>
      <c r="P180" s="8" t="s">
        <v>116</v>
      </c>
      <c r="Q180" s="8" t="s">
        <v>190</v>
      </c>
      <c r="R180" s="8" t="s">
        <v>117</v>
      </c>
      <c r="S180" s="8" t="s">
        <v>99</v>
      </c>
      <c r="T180" s="8" t="s">
        <v>989</v>
      </c>
    </row>
    <row r="181" customFormat="false" ht="15" hidden="false" customHeight="false" outlineLevel="0" collapsed="false">
      <c r="A181" s="8" t="s">
        <v>990</v>
      </c>
      <c r="B181" s="8" t="s">
        <v>128</v>
      </c>
      <c r="C181" s="8" t="s">
        <v>77</v>
      </c>
      <c r="D181" s="8" t="s">
        <v>985</v>
      </c>
      <c r="E181" s="9" t="n">
        <f aca="false">IF(C181="inhibition",-1,1)</f>
        <v>1</v>
      </c>
      <c r="F181" s="8" t="s">
        <v>864</v>
      </c>
      <c r="G181" s="8"/>
      <c r="H181" s="8"/>
      <c r="I181" s="8" t="s">
        <v>158</v>
      </c>
      <c r="J181" s="8" t="s">
        <v>83</v>
      </c>
      <c r="K181" s="8" t="s">
        <v>84</v>
      </c>
      <c r="L181" s="8"/>
      <c r="M181" s="8" t="s">
        <v>213</v>
      </c>
      <c r="N181" s="8"/>
      <c r="O181" s="8" t="s">
        <v>87</v>
      </c>
      <c r="P181" s="8" t="s">
        <v>116</v>
      </c>
      <c r="Q181" s="8" t="s">
        <v>160</v>
      </c>
      <c r="R181" s="8" t="s">
        <v>98</v>
      </c>
      <c r="S181" s="8" t="s">
        <v>99</v>
      </c>
      <c r="T181" s="8" t="s">
        <v>865</v>
      </c>
    </row>
    <row r="182" customFormat="false" ht="15" hidden="false" customHeight="false" outlineLevel="0" collapsed="false">
      <c r="A182" s="8" t="s">
        <v>991</v>
      </c>
      <c r="B182" s="8" t="s">
        <v>426</v>
      </c>
      <c r="C182" s="8" t="s">
        <v>77</v>
      </c>
      <c r="D182" s="8" t="s">
        <v>985</v>
      </c>
      <c r="E182" s="9" t="n">
        <f aca="false">IF(C182="inhibition",-1,1)</f>
        <v>1</v>
      </c>
      <c r="F182" s="8" t="s">
        <v>992</v>
      </c>
      <c r="G182" s="10" t="s">
        <v>993</v>
      </c>
      <c r="H182" s="8" t="s">
        <v>994</v>
      </c>
      <c r="I182" s="8" t="s">
        <v>158</v>
      </c>
      <c r="J182" s="8" t="s">
        <v>159</v>
      </c>
      <c r="K182" s="8" t="s">
        <v>160</v>
      </c>
      <c r="L182" s="8"/>
      <c r="M182" s="8" t="s">
        <v>86</v>
      </c>
      <c r="N182" s="8"/>
      <c r="O182" s="8" t="s">
        <v>87</v>
      </c>
      <c r="P182" s="8" t="s">
        <v>116</v>
      </c>
      <c r="Q182" s="8" t="s">
        <v>617</v>
      </c>
      <c r="R182" s="8" t="s">
        <v>160</v>
      </c>
      <c r="S182" s="8" t="s">
        <v>160</v>
      </c>
      <c r="T182" s="8" t="s">
        <v>995</v>
      </c>
    </row>
    <row r="183" customFormat="false" ht="15" hidden="false" customHeight="false" outlineLevel="0" collapsed="false">
      <c r="A183" s="8" t="s">
        <v>996</v>
      </c>
      <c r="B183" s="8" t="s">
        <v>102</v>
      </c>
      <c r="C183" s="8" t="s">
        <v>144</v>
      </c>
      <c r="D183" s="8" t="s">
        <v>985</v>
      </c>
      <c r="E183" s="9" t="n">
        <f aca="false">IF(C183="inhibition",-1,1)</f>
        <v>-1</v>
      </c>
      <c r="F183" s="8" t="s">
        <v>997</v>
      </c>
      <c r="G183" s="10" t="s">
        <v>998</v>
      </c>
      <c r="H183" s="8" t="s">
        <v>999</v>
      </c>
      <c r="I183" s="8" t="s">
        <v>138</v>
      </c>
      <c r="J183" s="8" t="s">
        <v>83</v>
      </c>
      <c r="K183" s="8" t="s">
        <v>84</v>
      </c>
      <c r="L183" s="8"/>
      <c r="M183" s="8" t="s">
        <v>86</v>
      </c>
      <c r="N183" s="8"/>
      <c r="O183" s="8" t="s">
        <v>87</v>
      </c>
      <c r="P183" s="8" t="s">
        <v>116</v>
      </c>
      <c r="Q183" s="8" t="s">
        <v>230</v>
      </c>
      <c r="R183" s="8" t="s">
        <v>117</v>
      </c>
      <c r="S183" s="8" t="s">
        <v>99</v>
      </c>
      <c r="T183" s="8" t="s">
        <v>1000</v>
      </c>
    </row>
    <row r="184" customFormat="false" ht="15" hidden="false" customHeight="false" outlineLevel="0" collapsed="false">
      <c r="A184" s="8" t="s">
        <v>1001</v>
      </c>
      <c r="B184" s="8" t="s">
        <v>219</v>
      </c>
      <c r="C184" s="8" t="s">
        <v>77</v>
      </c>
      <c r="D184" s="8" t="s">
        <v>1002</v>
      </c>
      <c r="E184" s="9" t="n">
        <f aca="false">IF(C184="inhibition",-1,1)</f>
        <v>1</v>
      </c>
      <c r="F184" s="8" t="s">
        <v>860</v>
      </c>
      <c r="G184" s="10" t="s">
        <v>861</v>
      </c>
      <c r="H184" s="8" t="s">
        <v>1003</v>
      </c>
      <c r="I184" s="8" t="s">
        <v>82</v>
      </c>
      <c r="J184" s="8" t="s">
        <v>83</v>
      </c>
      <c r="K184" s="8" t="s">
        <v>84</v>
      </c>
      <c r="L184" s="8"/>
      <c r="M184" s="8" t="s">
        <v>86</v>
      </c>
      <c r="N184" s="8"/>
      <c r="O184" s="8" t="s">
        <v>87</v>
      </c>
      <c r="P184" s="8" t="s">
        <v>116</v>
      </c>
      <c r="Q184" s="8" t="s">
        <v>97</v>
      </c>
      <c r="R184" s="8" t="s">
        <v>98</v>
      </c>
      <c r="S184" s="8" t="s">
        <v>99</v>
      </c>
      <c r="T184" s="8" t="s">
        <v>1004</v>
      </c>
    </row>
    <row r="185" customFormat="false" ht="15" hidden="false" customHeight="false" outlineLevel="0" collapsed="false">
      <c r="A185" s="8" t="s">
        <v>1005</v>
      </c>
      <c r="B185" s="8" t="s">
        <v>111</v>
      </c>
      <c r="C185" s="8" t="s">
        <v>77</v>
      </c>
      <c r="D185" s="8" t="s">
        <v>1002</v>
      </c>
      <c r="E185" s="9" t="n">
        <f aca="false">IF(C185="inhibition",-1,1)</f>
        <v>1</v>
      </c>
      <c r="F185" s="8" t="s">
        <v>113</v>
      </c>
      <c r="G185" s="10" t="s">
        <v>114</v>
      </c>
      <c r="H185" s="8" t="s">
        <v>115</v>
      </c>
      <c r="I185" s="8" t="s">
        <v>82</v>
      </c>
      <c r="J185" s="8" t="s">
        <v>83</v>
      </c>
      <c r="K185" s="8" t="s">
        <v>84</v>
      </c>
      <c r="L185" s="8"/>
      <c r="M185" s="8" t="s">
        <v>86</v>
      </c>
      <c r="N185" s="8"/>
      <c r="O185" s="8" t="s">
        <v>87</v>
      </c>
      <c r="P185" s="8" t="s">
        <v>116</v>
      </c>
      <c r="Q185" s="8" t="s">
        <v>97</v>
      </c>
      <c r="R185" s="8" t="s">
        <v>117</v>
      </c>
      <c r="S185" s="8" t="s">
        <v>99</v>
      </c>
      <c r="T185" s="8" t="s">
        <v>118</v>
      </c>
    </row>
    <row r="186" customFormat="false" ht="15" hidden="false" customHeight="false" outlineLevel="0" collapsed="false">
      <c r="A186" s="8" t="s">
        <v>1006</v>
      </c>
      <c r="B186" s="8" t="s">
        <v>476</v>
      </c>
      <c r="C186" s="8" t="s">
        <v>77</v>
      </c>
      <c r="D186" s="8" t="s">
        <v>1002</v>
      </c>
      <c r="E186" s="9" t="n">
        <f aca="false">IF(C186="inhibition",-1,1)</f>
        <v>1</v>
      </c>
      <c r="F186" s="8" t="s">
        <v>1007</v>
      </c>
      <c r="G186" s="10" t="s">
        <v>1008</v>
      </c>
      <c r="H186" s="8" t="s">
        <v>1009</v>
      </c>
      <c r="I186" s="8" t="s">
        <v>82</v>
      </c>
      <c r="J186" s="8" t="s">
        <v>83</v>
      </c>
      <c r="K186" s="8" t="s">
        <v>84</v>
      </c>
      <c r="L186" s="8"/>
      <c r="M186" s="8" t="s">
        <v>86</v>
      </c>
      <c r="N186" s="8"/>
      <c r="O186" s="8" t="s">
        <v>87</v>
      </c>
      <c r="P186" s="8" t="s">
        <v>116</v>
      </c>
      <c r="Q186" s="8" t="s">
        <v>97</v>
      </c>
      <c r="R186" s="8" t="s">
        <v>117</v>
      </c>
      <c r="S186" s="8" t="s">
        <v>99</v>
      </c>
      <c r="T186" s="8" t="s">
        <v>1010</v>
      </c>
    </row>
    <row r="187" customFormat="false" ht="15" hidden="false" customHeight="false" outlineLevel="0" collapsed="false">
      <c r="A187" s="8" t="s">
        <v>1011</v>
      </c>
      <c r="B187" s="8" t="s">
        <v>128</v>
      </c>
      <c r="C187" s="8" t="s">
        <v>77</v>
      </c>
      <c r="D187" s="8" t="s">
        <v>1002</v>
      </c>
      <c r="E187" s="9" t="n">
        <f aca="false">IF(C187="inhibition",-1,1)</f>
        <v>1</v>
      </c>
      <c r="F187" s="8" t="s">
        <v>512</v>
      </c>
      <c r="G187" s="8"/>
      <c r="H187" s="8"/>
      <c r="I187" s="8" t="s">
        <v>82</v>
      </c>
      <c r="J187" s="8" t="s">
        <v>83</v>
      </c>
      <c r="K187" s="8" t="s">
        <v>84</v>
      </c>
      <c r="L187" s="8"/>
      <c r="M187" s="8" t="s">
        <v>213</v>
      </c>
      <c r="N187" s="8"/>
      <c r="O187" s="8" t="s">
        <v>87</v>
      </c>
      <c r="P187" s="8" t="s">
        <v>116</v>
      </c>
      <c r="Q187" s="8" t="s">
        <v>97</v>
      </c>
      <c r="R187" s="8" t="s">
        <v>83</v>
      </c>
      <c r="S187" s="8" t="s">
        <v>108</v>
      </c>
      <c r="T187" s="8" t="s">
        <v>513</v>
      </c>
    </row>
    <row r="188" customFormat="false" ht="15" hidden="false" customHeight="false" outlineLevel="0" collapsed="false">
      <c r="A188" s="8" t="s">
        <v>1012</v>
      </c>
      <c r="B188" s="8" t="s">
        <v>515</v>
      </c>
      <c r="C188" s="8" t="s">
        <v>77</v>
      </c>
      <c r="D188" s="8" t="s">
        <v>1002</v>
      </c>
      <c r="E188" s="9" t="n">
        <f aca="false">IF(C188="inhibition",-1,1)</f>
        <v>1</v>
      </c>
      <c r="F188" s="8" t="s">
        <v>1013</v>
      </c>
      <c r="G188" s="10" t="s">
        <v>1014</v>
      </c>
      <c r="H188" s="8" t="s">
        <v>1015</v>
      </c>
      <c r="I188" s="8" t="s">
        <v>138</v>
      </c>
      <c r="J188" s="8" t="s">
        <v>106</v>
      </c>
      <c r="K188" s="8" t="s">
        <v>84</v>
      </c>
      <c r="L188" s="8"/>
      <c r="M188" s="8" t="s">
        <v>86</v>
      </c>
      <c r="N188" s="8"/>
      <c r="O188" s="8" t="s">
        <v>87</v>
      </c>
      <c r="P188" s="8" t="s">
        <v>116</v>
      </c>
      <c r="Q188" s="8" t="s">
        <v>190</v>
      </c>
      <c r="R188" s="8" t="s">
        <v>772</v>
      </c>
      <c r="S188" s="8" t="s">
        <v>99</v>
      </c>
      <c r="T188" s="8" t="s">
        <v>1016</v>
      </c>
    </row>
    <row r="189" customFormat="false" ht="15" hidden="false" customHeight="false" outlineLevel="0" collapsed="false">
      <c r="A189" s="8" t="s">
        <v>1017</v>
      </c>
      <c r="B189" s="8" t="s">
        <v>322</v>
      </c>
      <c r="C189" s="8" t="s">
        <v>77</v>
      </c>
      <c r="D189" s="8" t="s">
        <v>1002</v>
      </c>
      <c r="E189" s="9" t="n">
        <f aca="false">IF(C189="inhibition",-1,1)</f>
        <v>1</v>
      </c>
      <c r="F189" s="8" t="s">
        <v>1018</v>
      </c>
      <c r="G189" s="10" t="s">
        <v>1019</v>
      </c>
      <c r="H189" s="8" t="s">
        <v>1020</v>
      </c>
      <c r="I189" s="8" t="s">
        <v>82</v>
      </c>
      <c r="J189" s="8" t="s">
        <v>159</v>
      </c>
      <c r="K189" s="8" t="s">
        <v>160</v>
      </c>
      <c r="L189" s="8"/>
      <c r="M189" s="8" t="s">
        <v>86</v>
      </c>
      <c r="N189" s="8"/>
      <c r="O189" s="8" t="s">
        <v>87</v>
      </c>
      <c r="P189" s="8" t="s">
        <v>116</v>
      </c>
      <c r="Q189" s="8" t="s">
        <v>500</v>
      </c>
      <c r="R189" s="8" t="s">
        <v>1021</v>
      </c>
      <c r="S189" s="8" t="s">
        <v>160</v>
      </c>
      <c r="T189" s="8" t="s">
        <v>1022</v>
      </c>
    </row>
    <row r="190" customFormat="false" ht="15" hidden="false" customHeight="false" outlineLevel="0" collapsed="false">
      <c r="A190" s="8" t="s">
        <v>1023</v>
      </c>
      <c r="B190" s="8" t="s">
        <v>426</v>
      </c>
      <c r="C190" s="8" t="s">
        <v>77</v>
      </c>
      <c r="D190" s="8" t="s">
        <v>1002</v>
      </c>
      <c r="E190" s="9" t="n">
        <f aca="false">IF(C190="inhibition",-1,1)</f>
        <v>1</v>
      </c>
      <c r="F190" s="8" t="s">
        <v>992</v>
      </c>
      <c r="G190" s="10" t="s">
        <v>993</v>
      </c>
      <c r="H190" s="8" t="s">
        <v>994</v>
      </c>
      <c r="I190" s="8" t="s">
        <v>158</v>
      </c>
      <c r="J190" s="8" t="s">
        <v>159</v>
      </c>
      <c r="K190" s="8" t="s">
        <v>160</v>
      </c>
      <c r="L190" s="8"/>
      <c r="M190" s="8" t="s">
        <v>86</v>
      </c>
      <c r="N190" s="8"/>
      <c r="O190" s="8" t="s">
        <v>87</v>
      </c>
      <c r="P190" s="8" t="s">
        <v>116</v>
      </c>
      <c r="Q190" s="8" t="s">
        <v>617</v>
      </c>
      <c r="R190" s="8" t="s">
        <v>160</v>
      </c>
      <c r="S190" s="8" t="s">
        <v>160</v>
      </c>
      <c r="T190" s="8" t="s">
        <v>995</v>
      </c>
    </row>
    <row r="191" customFormat="false" ht="15" hidden="false" customHeight="false" outlineLevel="0" collapsed="false">
      <c r="A191" s="8" t="s">
        <v>1024</v>
      </c>
      <c r="B191" s="8" t="s">
        <v>102</v>
      </c>
      <c r="C191" s="8" t="s">
        <v>144</v>
      </c>
      <c r="D191" s="8" t="s">
        <v>1002</v>
      </c>
      <c r="E191" s="9" t="n">
        <f aca="false">IF(C191="inhibition",-1,1)</f>
        <v>-1</v>
      </c>
      <c r="F191" s="8" t="s">
        <v>997</v>
      </c>
      <c r="G191" s="10" t="s">
        <v>998</v>
      </c>
      <c r="H191" s="8" t="s">
        <v>999</v>
      </c>
      <c r="I191" s="8" t="s">
        <v>138</v>
      </c>
      <c r="J191" s="8" t="s">
        <v>83</v>
      </c>
      <c r="K191" s="8" t="s">
        <v>84</v>
      </c>
      <c r="L191" s="8"/>
      <c r="M191" s="8" t="s">
        <v>86</v>
      </c>
      <c r="N191" s="8"/>
      <c r="O191" s="8" t="s">
        <v>87</v>
      </c>
      <c r="P191" s="8" t="s">
        <v>116</v>
      </c>
      <c r="Q191" s="8" t="s">
        <v>230</v>
      </c>
      <c r="R191" s="8" t="s">
        <v>117</v>
      </c>
      <c r="S191" s="8" t="s">
        <v>99</v>
      </c>
      <c r="T191" s="8" t="s">
        <v>1000</v>
      </c>
    </row>
    <row r="192" customFormat="false" ht="15" hidden="false" customHeight="false" outlineLevel="0" collapsed="false">
      <c r="A192" s="8" t="s">
        <v>1025</v>
      </c>
      <c r="B192" s="8" t="s">
        <v>219</v>
      </c>
      <c r="C192" s="8" t="s">
        <v>77</v>
      </c>
      <c r="D192" s="8" t="s">
        <v>1026</v>
      </c>
      <c r="E192" s="9" t="n">
        <f aca="false">IF(C192="inhibition",-1,1)</f>
        <v>1</v>
      </c>
      <c r="F192" s="8" t="s">
        <v>860</v>
      </c>
      <c r="G192" s="10" t="s">
        <v>861</v>
      </c>
      <c r="H192" s="8" t="s">
        <v>1003</v>
      </c>
      <c r="I192" s="8" t="s">
        <v>82</v>
      </c>
      <c r="J192" s="8" t="s">
        <v>83</v>
      </c>
      <c r="K192" s="8" t="s">
        <v>84</v>
      </c>
      <c r="L192" s="8"/>
      <c r="M192" s="8" t="s">
        <v>86</v>
      </c>
      <c r="N192" s="8"/>
      <c r="O192" s="8" t="s">
        <v>87</v>
      </c>
      <c r="P192" s="8" t="s">
        <v>116</v>
      </c>
      <c r="Q192" s="8" t="s">
        <v>97</v>
      </c>
      <c r="R192" s="8" t="s">
        <v>98</v>
      </c>
      <c r="S192" s="8" t="s">
        <v>99</v>
      </c>
      <c r="T192" s="8" t="s">
        <v>1004</v>
      </c>
    </row>
    <row r="193" customFormat="false" ht="15" hidden="false" customHeight="false" outlineLevel="0" collapsed="false">
      <c r="A193" s="8" t="s">
        <v>1027</v>
      </c>
      <c r="B193" s="8" t="s">
        <v>128</v>
      </c>
      <c r="C193" s="8" t="s">
        <v>77</v>
      </c>
      <c r="D193" s="8" t="s">
        <v>1026</v>
      </c>
      <c r="E193" s="9" t="n">
        <f aca="false">IF(C193="inhibition",-1,1)</f>
        <v>1</v>
      </c>
      <c r="F193" s="8" t="s">
        <v>864</v>
      </c>
      <c r="G193" s="8"/>
      <c r="H193" s="8"/>
      <c r="I193" s="8" t="s">
        <v>82</v>
      </c>
      <c r="J193" s="8" t="s">
        <v>83</v>
      </c>
      <c r="K193" s="8" t="s">
        <v>84</v>
      </c>
      <c r="L193" s="8"/>
      <c r="M193" s="8" t="s">
        <v>213</v>
      </c>
      <c r="N193" s="8"/>
      <c r="O193" s="8" t="s">
        <v>87</v>
      </c>
      <c r="P193" s="8" t="s">
        <v>116</v>
      </c>
      <c r="Q193" s="8" t="s">
        <v>97</v>
      </c>
      <c r="R193" s="8" t="s">
        <v>98</v>
      </c>
      <c r="S193" s="8" t="s">
        <v>99</v>
      </c>
      <c r="T193" s="8" t="s">
        <v>865</v>
      </c>
    </row>
    <row r="194" customFormat="false" ht="15" hidden="false" customHeight="false" outlineLevel="0" collapsed="false">
      <c r="A194" s="8" t="s">
        <v>1028</v>
      </c>
      <c r="B194" s="8" t="s">
        <v>426</v>
      </c>
      <c r="C194" s="8" t="s">
        <v>77</v>
      </c>
      <c r="D194" s="8" t="s">
        <v>1026</v>
      </c>
      <c r="E194" s="9" t="n">
        <f aca="false">IF(C194="inhibition",-1,1)</f>
        <v>1</v>
      </c>
      <c r="F194" s="8" t="s">
        <v>992</v>
      </c>
      <c r="G194" s="10" t="s">
        <v>993</v>
      </c>
      <c r="H194" s="8" t="s">
        <v>994</v>
      </c>
      <c r="I194" s="8" t="s">
        <v>158</v>
      </c>
      <c r="J194" s="8" t="s">
        <v>159</v>
      </c>
      <c r="K194" s="8" t="s">
        <v>160</v>
      </c>
      <c r="L194" s="8"/>
      <c r="M194" s="8" t="s">
        <v>86</v>
      </c>
      <c r="N194" s="8"/>
      <c r="O194" s="8" t="s">
        <v>87</v>
      </c>
      <c r="P194" s="8" t="s">
        <v>116</v>
      </c>
      <c r="Q194" s="8" t="s">
        <v>617</v>
      </c>
      <c r="R194" s="8" t="s">
        <v>160</v>
      </c>
      <c r="S194" s="8" t="s">
        <v>160</v>
      </c>
      <c r="T194" s="8" t="s">
        <v>995</v>
      </c>
    </row>
    <row r="195" customFormat="false" ht="15" hidden="false" customHeight="false" outlineLevel="0" collapsed="false">
      <c r="A195" s="8" t="s">
        <v>1029</v>
      </c>
      <c r="B195" s="8" t="s">
        <v>102</v>
      </c>
      <c r="C195" s="8" t="s">
        <v>144</v>
      </c>
      <c r="D195" s="8" t="s">
        <v>1026</v>
      </c>
      <c r="E195" s="9" t="n">
        <f aca="false">IF(C195="inhibition",-1,1)</f>
        <v>-1</v>
      </c>
      <c r="F195" s="8" t="s">
        <v>997</v>
      </c>
      <c r="G195" s="10" t="s">
        <v>998</v>
      </c>
      <c r="H195" s="8" t="s">
        <v>999</v>
      </c>
      <c r="I195" s="8" t="s">
        <v>138</v>
      </c>
      <c r="J195" s="8" t="s">
        <v>83</v>
      </c>
      <c r="K195" s="8" t="s">
        <v>84</v>
      </c>
      <c r="L195" s="8"/>
      <c r="M195" s="8" t="s">
        <v>86</v>
      </c>
      <c r="N195" s="8"/>
      <c r="O195" s="8" t="s">
        <v>87</v>
      </c>
      <c r="P195" s="8" t="s">
        <v>116</v>
      </c>
      <c r="Q195" s="8" t="s">
        <v>230</v>
      </c>
      <c r="R195" s="8" t="s">
        <v>117</v>
      </c>
      <c r="S195" s="8" t="s">
        <v>99</v>
      </c>
      <c r="T195" s="8" t="s">
        <v>1000</v>
      </c>
    </row>
    <row r="196" customFormat="false" ht="15" hidden="false" customHeight="false" outlineLevel="0" collapsed="false">
      <c r="A196" s="8" t="s">
        <v>1030</v>
      </c>
      <c r="B196" s="8" t="s">
        <v>281</v>
      </c>
      <c r="C196" s="8" t="s">
        <v>77</v>
      </c>
      <c r="D196" s="8" t="s">
        <v>388</v>
      </c>
      <c r="E196" s="9" t="n">
        <f aca="false">IF(C196="inhibition",-1,1)</f>
        <v>1</v>
      </c>
      <c r="F196" s="8" t="s">
        <v>1031</v>
      </c>
      <c r="G196" s="10" t="s">
        <v>1032</v>
      </c>
      <c r="H196" s="8"/>
      <c r="I196" s="8" t="s">
        <v>158</v>
      </c>
      <c r="J196" s="8" t="s">
        <v>159</v>
      </c>
      <c r="K196" s="8" t="s">
        <v>160</v>
      </c>
      <c r="L196" s="8"/>
      <c r="M196" s="8" t="s">
        <v>86</v>
      </c>
      <c r="N196" s="8"/>
      <c r="O196" s="8" t="s">
        <v>285</v>
      </c>
      <c r="P196" s="8" t="s">
        <v>285</v>
      </c>
      <c r="Q196" s="8" t="s">
        <v>215</v>
      </c>
      <c r="R196" s="8" t="s">
        <v>160</v>
      </c>
      <c r="S196" s="8" t="s">
        <v>160</v>
      </c>
      <c r="T196" s="8" t="s">
        <v>1033</v>
      </c>
    </row>
    <row r="197" customFormat="false" ht="15" hidden="false" customHeight="false" outlineLevel="0" collapsed="false">
      <c r="A197" s="8" t="s">
        <v>1034</v>
      </c>
      <c r="B197" s="8" t="s">
        <v>288</v>
      </c>
      <c r="C197" s="8" t="s">
        <v>144</v>
      </c>
      <c r="D197" s="8" t="s">
        <v>388</v>
      </c>
      <c r="E197" s="9" t="n">
        <f aca="false">IF(C197="inhibition",-1,1)</f>
        <v>-1</v>
      </c>
      <c r="F197" s="8" t="s">
        <v>304</v>
      </c>
      <c r="G197" s="10" t="s">
        <v>305</v>
      </c>
      <c r="H197" s="8"/>
      <c r="I197" s="8" t="s">
        <v>158</v>
      </c>
      <c r="J197" s="8" t="s">
        <v>159</v>
      </c>
      <c r="K197" s="8" t="s">
        <v>160</v>
      </c>
      <c r="L197" s="8"/>
      <c r="M197" s="8" t="s">
        <v>86</v>
      </c>
      <c r="N197" s="8"/>
      <c r="O197" s="8" t="s">
        <v>285</v>
      </c>
      <c r="P197" s="8" t="s">
        <v>285</v>
      </c>
      <c r="Q197" s="8" t="s">
        <v>215</v>
      </c>
      <c r="R197" s="8" t="s">
        <v>160</v>
      </c>
      <c r="S197" s="8" t="s">
        <v>160</v>
      </c>
      <c r="T197" s="8" t="s">
        <v>306</v>
      </c>
    </row>
    <row r="198" customFormat="false" ht="15" hidden="false" customHeight="false" outlineLevel="0" collapsed="false">
      <c r="A198" s="8" t="s">
        <v>1035</v>
      </c>
      <c r="B198" s="8" t="s">
        <v>945</v>
      </c>
      <c r="C198" s="8" t="s">
        <v>77</v>
      </c>
      <c r="D198" s="8" t="s">
        <v>476</v>
      </c>
      <c r="E198" s="9" t="n">
        <f aca="false">IF(C198="inhibition",-1,1)</f>
        <v>1</v>
      </c>
      <c r="F198" s="8" t="s">
        <v>1036</v>
      </c>
      <c r="G198" s="10" t="s">
        <v>1037</v>
      </c>
      <c r="H198" s="8" t="s">
        <v>1038</v>
      </c>
      <c r="I198" s="8" t="s">
        <v>158</v>
      </c>
      <c r="J198" s="8" t="s">
        <v>159</v>
      </c>
      <c r="K198" s="8" t="s">
        <v>160</v>
      </c>
      <c r="L198" s="8"/>
      <c r="M198" s="8" t="s">
        <v>86</v>
      </c>
      <c r="N198" s="8"/>
      <c r="O198" s="8" t="s">
        <v>214</v>
      </c>
      <c r="P198" s="8" t="s">
        <v>87</v>
      </c>
      <c r="Q198" s="8" t="s">
        <v>160</v>
      </c>
      <c r="R198" s="8" t="s">
        <v>160</v>
      </c>
      <c r="S198" s="8" t="s">
        <v>160</v>
      </c>
      <c r="T198" s="8" t="s">
        <v>1039</v>
      </c>
    </row>
    <row r="199" customFormat="false" ht="15" hidden="false" customHeight="false" outlineLevel="0" collapsed="false">
      <c r="A199" s="8" t="s">
        <v>1040</v>
      </c>
      <c r="B199" s="8" t="s">
        <v>936</v>
      </c>
      <c r="C199" s="8" t="s">
        <v>77</v>
      </c>
      <c r="D199" s="8" t="s">
        <v>476</v>
      </c>
      <c r="E199" s="9" t="n">
        <f aca="false">IF(C199="inhibition",-1,1)</f>
        <v>1</v>
      </c>
      <c r="F199" s="8" t="s">
        <v>1007</v>
      </c>
      <c r="G199" s="10" t="s">
        <v>1008</v>
      </c>
      <c r="H199" s="8" t="s">
        <v>1009</v>
      </c>
      <c r="I199" s="8" t="s">
        <v>82</v>
      </c>
      <c r="J199" s="8" t="s">
        <v>83</v>
      </c>
      <c r="K199" s="8" t="s">
        <v>84</v>
      </c>
      <c r="L199" s="8"/>
      <c r="M199" s="8" t="s">
        <v>86</v>
      </c>
      <c r="N199" s="8"/>
      <c r="O199" s="8" t="s">
        <v>443</v>
      </c>
      <c r="P199" s="8" t="s">
        <v>87</v>
      </c>
      <c r="Q199" s="8" t="s">
        <v>97</v>
      </c>
      <c r="R199" s="8" t="s">
        <v>83</v>
      </c>
      <c r="S199" s="8" t="s">
        <v>99</v>
      </c>
      <c r="T199" s="8" t="s">
        <v>1010</v>
      </c>
    </row>
    <row r="200" customFormat="false" ht="15" hidden="false" customHeight="false" outlineLevel="0" collapsed="false">
      <c r="A200" s="8" t="s">
        <v>1041</v>
      </c>
      <c r="B200" s="8" t="s">
        <v>942</v>
      </c>
      <c r="C200" s="8" t="s">
        <v>77</v>
      </c>
      <c r="D200" s="8" t="s">
        <v>681</v>
      </c>
      <c r="E200" s="9" t="n">
        <f aca="false">IF(C200="inhibition",-1,1)</f>
        <v>1</v>
      </c>
      <c r="F200" s="8" t="s">
        <v>1042</v>
      </c>
      <c r="G200" s="10" t="s">
        <v>1043</v>
      </c>
      <c r="H200" s="8" t="s">
        <v>1044</v>
      </c>
      <c r="I200" s="8" t="s">
        <v>158</v>
      </c>
      <c r="J200" s="8" t="s">
        <v>159</v>
      </c>
      <c r="K200" s="8" t="s">
        <v>160</v>
      </c>
      <c r="L200" s="8"/>
      <c r="M200" s="8" t="s">
        <v>86</v>
      </c>
      <c r="N200" s="8"/>
      <c r="O200" s="8" t="s">
        <v>443</v>
      </c>
      <c r="P200" s="8" t="s">
        <v>443</v>
      </c>
      <c r="Q200" s="8" t="s">
        <v>215</v>
      </c>
      <c r="R200" s="8" t="s">
        <v>160</v>
      </c>
      <c r="S200" s="8" t="s">
        <v>160</v>
      </c>
      <c r="T200" s="8" t="s">
        <v>1045</v>
      </c>
    </row>
    <row r="201" customFormat="false" ht="15" hidden="false" customHeight="false" outlineLevel="0" collapsed="false">
      <c r="A201" s="8" t="s">
        <v>1046</v>
      </c>
      <c r="B201" s="8" t="s">
        <v>218</v>
      </c>
      <c r="C201" s="8" t="s">
        <v>77</v>
      </c>
      <c r="D201" s="8" t="s">
        <v>204</v>
      </c>
      <c r="E201" s="9" t="n">
        <f aca="false">IF(C201="inhibition",-1,1)</f>
        <v>1</v>
      </c>
      <c r="F201" s="8" t="s">
        <v>1047</v>
      </c>
      <c r="G201" s="10" t="s">
        <v>1048</v>
      </c>
      <c r="H201" s="8" t="s">
        <v>1049</v>
      </c>
      <c r="I201" s="8" t="s">
        <v>158</v>
      </c>
      <c r="J201" s="8" t="s">
        <v>159</v>
      </c>
      <c r="K201" s="8" t="s">
        <v>160</v>
      </c>
      <c r="L201" s="8"/>
      <c r="M201" s="8" t="s">
        <v>86</v>
      </c>
      <c r="N201" s="8"/>
      <c r="O201" s="8" t="s">
        <v>124</v>
      </c>
      <c r="P201" s="8" t="s">
        <v>151</v>
      </c>
      <c r="Q201" s="8" t="s">
        <v>215</v>
      </c>
      <c r="R201" s="8" t="s">
        <v>160</v>
      </c>
      <c r="S201" s="8" t="s">
        <v>160</v>
      </c>
      <c r="T201" s="8" t="s">
        <v>1050</v>
      </c>
    </row>
    <row r="202" customFormat="false" ht="15" hidden="false" customHeight="false" outlineLevel="0" collapsed="false">
      <c r="A202" s="8" t="s">
        <v>1051</v>
      </c>
      <c r="B202" s="8" t="s">
        <v>531</v>
      </c>
      <c r="C202" s="8" t="s">
        <v>77</v>
      </c>
      <c r="D202" s="8" t="s">
        <v>204</v>
      </c>
      <c r="E202" s="9" t="n">
        <f aca="false">IF(C202="inhibition",-1,1)</f>
        <v>1</v>
      </c>
      <c r="F202" s="8" t="s">
        <v>1047</v>
      </c>
      <c r="G202" s="10" t="s">
        <v>1048</v>
      </c>
      <c r="H202" s="8" t="s">
        <v>1049</v>
      </c>
      <c r="I202" s="8" t="s">
        <v>158</v>
      </c>
      <c r="J202" s="8" t="s">
        <v>159</v>
      </c>
      <c r="K202" s="8" t="s">
        <v>160</v>
      </c>
      <c r="L202" s="8"/>
      <c r="M202" s="8" t="s">
        <v>86</v>
      </c>
      <c r="N202" s="8"/>
      <c r="O202" s="8" t="s">
        <v>124</v>
      </c>
      <c r="P202" s="8" t="s">
        <v>151</v>
      </c>
      <c r="Q202" s="8" t="s">
        <v>160</v>
      </c>
      <c r="R202" s="8" t="s">
        <v>160</v>
      </c>
      <c r="S202" s="8" t="s">
        <v>160</v>
      </c>
      <c r="T202" s="8" t="s">
        <v>1050</v>
      </c>
    </row>
    <row r="203" customFormat="false" ht="15" hidden="false" customHeight="false" outlineLevel="0" collapsed="false">
      <c r="A203" s="8" t="s">
        <v>1052</v>
      </c>
      <c r="B203" s="8" t="s">
        <v>1053</v>
      </c>
      <c r="C203" s="8" t="s">
        <v>77</v>
      </c>
      <c r="D203" s="8" t="s">
        <v>204</v>
      </c>
      <c r="E203" s="9" t="n">
        <f aca="false">IF(C203="inhibition",-1,1)</f>
        <v>1</v>
      </c>
      <c r="F203" s="8" t="s">
        <v>1054</v>
      </c>
      <c r="G203" s="10" t="s">
        <v>1055</v>
      </c>
      <c r="H203" s="8" t="s">
        <v>1056</v>
      </c>
      <c r="I203" s="8" t="s">
        <v>158</v>
      </c>
      <c r="J203" s="8" t="s">
        <v>159</v>
      </c>
      <c r="K203" s="8" t="s">
        <v>160</v>
      </c>
      <c r="L203" s="8"/>
      <c r="M203" s="8" t="s">
        <v>86</v>
      </c>
      <c r="N203" s="8"/>
      <c r="O203" s="8" t="s">
        <v>151</v>
      </c>
      <c r="P203" s="8" t="s">
        <v>151</v>
      </c>
      <c r="Q203" s="8" t="s">
        <v>160</v>
      </c>
      <c r="R203" s="8" t="s">
        <v>160</v>
      </c>
      <c r="S203" s="8" t="s">
        <v>160</v>
      </c>
      <c r="T203" s="8" t="s">
        <v>1057</v>
      </c>
    </row>
    <row r="204" customFormat="false" ht="15" hidden="false" customHeight="false" outlineLevel="0" collapsed="false">
      <c r="A204" s="8" t="s">
        <v>1058</v>
      </c>
      <c r="B204" s="8" t="s">
        <v>1059</v>
      </c>
      <c r="C204" s="8" t="s">
        <v>77</v>
      </c>
      <c r="D204" s="8" t="s">
        <v>204</v>
      </c>
      <c r="E204" s="9" t="n">
        <f aca="false">IF(C204="inhibition",-1,1)</f>
        <v>1</v>
      </c>
      <c r="F204" s="8" t="s">
        <v>1060</v>
      </c>
      <c r="G204" s="10" t="s">
        <v>1061</v>
      </c>
      <c r="H204" s="8" t="s">
        <v>1062</v>
      </c>
      <c r="I204" s="8" t="s">
        <v>158</v>
      </c>
      <c r="J204" s="8" t="s">
        <v>159</v>
      </c>
      <c r="K204" s="8" t="s">
        <v>160</v>
      </c>
      <c r="L204" s="8"/>
      <c r="M204" s="8" t="s">
        <v>86</v>
      </c>
      <c r="N204" s="8"/>
      <c r="O204" s="8" t="s">
        <v>151</v>
      </c>
      <c r="P204" s="8" t="s">
        <v>151</v>
      </c>
      <c r="Q204" s="8" t="s">
        <v>215</v>
      </c>
      <c r="R204" s="8" t="s">
        <v>160</v>
      </c>
      <c r="S204" s="8" t="s">
        <v>160</v>
      </c>
      <c r="T204" s="8" t="s">
        <v>1063</v>
      </c>
    </row>
    <row r="205" customFormat="false" ht="15" hidden="false" customHeight="false" outlineLevel="0" collapsed="false">
      <c r="A205" s="8" t="s">
        <v>1064</v>
      </c>
      <c r="B205" s="8" t="s">
        <v>178</v>
      </c>
      <c r="C205" s="8" t="s">
        <v>144</v>
      </c>
      <c r="D205" s="8" t="s">
        <v>204</v>
      </c>
      <c r="E205" s="9" t="n">
        <f aca="false">IF(C205="inhibition",-1,1)</f>
        <v>-1</v>
      </c>
      <c r="F205" s="8" t="s">
        <v>1065</v>
      </c>
      <c r="G205" s="10" t="s">
        <v>1066</v>
      </c>
      <c r="H205" s="8" t="s">
        <v>1067</v>
      </c>
      <c r="I205" s="8" t="s">
        <v>138</v>
      </c>
      <c r="J205" s="8" t="s">
        <v>83</v>
      </c>
      <c r="K205" s="8" t="s">
        <v>84</v>
      </c>
      <c r="L205" s="8"/>
      <c r="M205" s="8" t="s">
        <v>86</v>
      </c>
      <c r="N205" s="8"/>
      <c r="O205" s="8" t="s">
        <v>151</v>
      </c>
      <c r="P205" s="8" t="s">
        <v>151</v>
      </c>
      <c r="Q205" s="8" t="s">
        <v>190</v>
      </c>
      <c r="R205" s="8" t="s">
        <v>117</v>
      </c>
      <c r="S205" s="8" t="s">
        <v>99</v>
      </c>
      <c r="T205" s="8" t="s">
        <v>1068</v>
      </c>
    </row>
    <row r="206" customFormat="false" ht="15" hidden="false" customHeight="false" outlineLevel="0" collapsed="false">
      <c r="A206" s="8" t="s">
        <v>1069</v>
      </c>
      <c r="B206" s="8" t="s">
        <v>438</v>
      </c>
      <c r="C206" s="8" t="s">
        <v>77</v>
      </c>
      <c r="D206" s="8" t="s">
        <v>146</v>
      </c>
      <c r="E206" s="9" t="n">
        <f aca="false">IF(C206="inhibition",-1,1)</f>
        <v>1</v>
      </c>
      <c r="F206" s="8" t="s">
        <v>1070</v>
      </c>
      <c r="G206" s="10" t="s">
        <v>1071</v>
      </c>
      <c r="H206" s="8" t="s">
        <v>1072</v>
      </c>
      <c r="I206" s="8" t="s">
        <v>158</v>
      </c>
      <c r="J206" s="8" t="s">
        <v>159</v>
      </c>
      <c r="K206" s="8" t="s">
        <v>160</v>
      </c>
      <c r="L206" s="8"/>
      <c r="M206" s="8" t="s">
        <v>86</v>
      </c>
      <c r="N206" s="8"/>
      <c r="O206" s="8" t="s">
        <v>443</v>
      </c>
      <c r="P206" s="8" t="s">
        <v>151</v>
      </c>
      <c r="Q206" s="8" t="s">
        <v>160</v>
      </c>
      <c r="R206" s="8" t="s">
        <v>160</v>
      </c>
      <c r="S206" s="8" t="s">
        <v>160</v>
      </c>
      <c r="T206" s="8" t="s">
        <v>1073</v>
      </c>
    </row>
    <row r="207" customFormat="false" ht="15" hidden="false" customHeight="false" outlineLevel="0" collapsed="false">
      <c r="A207" s="8" t="s">
        <v>1074</v>
      </c>
      <c r="B207" s="8" t="s">
        <v>163</v>
      </c>
      <c r="C207" s="8" t="s">
        <v>77</v>
      </c>
      <c r="D207" s="8" t="s">
        <v>146</v>
      </c>
      <c r="E207" s="9" t="n">
        <f aca="false">IF(C207="inhibition",-1,1)</f>
        <v>1</v>
      </c>
      <c r="F207" s="8" t="s">
        <v>1075</v>
      </c>
      <c r="G207" s="10" t="s">
        <v>1076</v>
      </c>
      <c r="H207" s="8" t="s">
        <v>1077</v>
      </c>
      <c r="I207" s="8" t="s">
        <v>158</v>
      </c>
      <c r="J207" s="8" t="s">
        <v>159</v>
      </c>
      <c r="K207" s="8" t="s">
        <v>160</v>
      </c>
      <c r="L207" s="8"/>
      <c r="M207" s="8" t="s">
        <v>86</v>
      </c>
      <c r="N207" s="8"/>
      <c r="O207" s="8" t="s">
        <v>151</v>
      </c>
      <c r="P207" s="8" t="s">
        <v>151</v>
      </c>
      <c r="Q207" s="8" t="s">
        <v>406</v>
      </c>
      <c r="R207" s="8" t="s">
        <v>160</v>
      </c>
      <c r="S207" s="8" t="s">
        <v>160</v>
      </c>
      <c r="T207" s="8" t="s">
        <v>1078</v>
      </c>
    </row>
    <row r="208" customFormat="false" ht="15" hidden="false" customHeight="false" outlineLevel="0" collapsed="false">
      <c r="A208" s="8" t="s">
        <v>1079</v>
      </c>
      <c r="B208" s="8" t="s">
        <v>204</v>
      </c>
      <c r="C208" s="8" t="s">
        <v>144</v>
      </c>
      <c r="D208" s="8" t="s">
        <v>146</v>
      </c>
      <c r="E208" s="9" t="n">
        <f aca="false">IF(C208="inhibition",-1,1)</f>
        <v>-1</v>
      </c>
      <c r="F208" s="8" t="s">
        <v>1080</v>
      </c>
      <c r="G208" s="10" t="s">
        <v>1081</v>
      </c>
      <c r="H208" s="8" t="s">
        <v>1082</v>
      </c>
      <c r="I208" s="8" t="s">
        <v>158</v>
      </c>
      <c r="J208" s="8" t="s">
        <v>159</v>
      </c>
      <c r="K208" s="8" t="s">
        <v>160</v>
      </c>
      <c r="L208" s="8"/>
      <c r="M208" s="8" t="s">
        <v>86</v>
      </c>
      <c r="N208" s="8"/>
      <c r="O208" s="8" t="s">
        <v>151</v>
      </c>
      <c r="P208" s="8" t="s">
        <v>151</v>
      </c>
      <c r="Q208" s="8" t="s">
        <v>160</v>
      </c>
      <c r="R208" s="8" t="s">
        <v>160</v>
      </c>
      <c r="S208" s="8" t="s">
        <v>160</v>
      </c>
      <c r="T208" s="8" t="s">
        <v>1083</v>
      </c>
    </row>
    <row r="209" customFormat="false" ht="15" hidden="false" customHeight="false" outlineLevel="0" collapsed="false">
      <c r="A209" s="8" t="s">
        <v>1084</v>
      </c>
      <c r="B209" s="8" t="s">
        <v>120</v>
      </c>
      <c r="C209" s="8" t="s">
        <v>77</v>
      </c>
      <c r="D209" s="8" t="s">
        <v>128</v>
      </c>
      <c r="E209" s="9" t="n">
        <f aca="false">IF(C209="inhibition",-1,1)</f>
        <v>1</v>
      </c>
      <c r="F209" s="8" t="s">
        <v>1085</v>
      </c>
      <c r="G209" s="10" t="s">
        <v>1086</v>
      </c>
      <c r="H209" s="8" t="s">
        <v>1087</v>
      </c>
      <c r="I209" s="8" t="s">
        <v>82</v>
      </c>
      <c r="J209" s="8" t="s">
        <v>83</v>
      </c>
      <c r="K209" s="8" t="s">
        <v>84</v>
      </c>
      <c r="L209" s="8"/>
      <c r="M209" s="8" t="s">
        <v>86</v>
      </c>
      <c r="N209" s="8"/>
      <c r="O209" s="8" t="s">
        <v>124</v>
      </c>
      <c r="P209" s="8" t="s">
        <v>87</v>
      </c>
      <c r="Q209" s="8" t="s">
        <v>97</v>
      </c>
      <c r="R209" s="8" t="s">
        <v>117</v>
      </c>
      <c r="S209" s="8" t="s">
        <v>99</v>
      </c>
      <c r="T209" s="8" t="s">
        <v>1088</v>
      </c>
    </row>
    <row r="210" customFormat="false" ht="15" hidden="false" customHeight="false" outlineLevel="0" collapsed="false">
      <c r="A210" s="8" t="s">
        <v>1089</v>
      </c>
      <c r="B210" s="8" t="s">
        <v>194</v>
      </c>
      <c r="C210" s="8" t="s">
        <v>77</v>
      </c>
      <c r="D210" s="8" t="s">
        <v>128</v>
      </c>
      <c r="E210" s="9" t="n">
        <f aca="false">IF(C210="inhibition",-1,1)</f>
        <v>1</v>
      </c>
      <c r="F210" s="8" t="s">
        <v>1090</v>
      </c>
      <c r="G210" s="10" t="s">
        <v>1091</v>
      </c>
      <c r="H210" s="8" t="s">
        <v>1092</v>
      </c>
      <c r="I210" s="8" t="s">
        <v>82</v>
      </c>
      <c r="J210" s="8" t="s">
        <v>106</v>
      </c>
      <c r="K210" s="8" t="s">
        <v>84</v>
      </c>
      <c r="L210" s="8"/>
      <c r="M210" s="8" t="s">
        <v>86</v>
      </c>
      <c r="N210" s="8"/>
      <c r="O210" s="8" t="s">
        <v>199</v>
      </c>
      <c r="P210" s="8" t="s">
        <v>87</v>
      </c>
      <c r="Q210" s="8" t="s">
        <v>97</v>
      </c>
      <c r="R210" s="8" t="s">
        <v>107</v>
      </c>
      <c r="S210" s="8" t="s">
        <v>99</v>
      </c>
      <c r="T210" s="8" t="s">
        <v>1093</v>
      </c>
    </row>
    <row r="211" customFormat="false" ht="15" hidden="false" customHeight="false" outlineLevel="0" collapsed="false">
      <c r="A211" s="8" t="s">
        <v>1094</v>
      </c>
      <c r="B211" s="8" t="s">
        <v>904</v>
      </c>
      <c r="C211" s="8" t="s">
        <v>144</v>
      </c>
      <c r="D211" s="8" t="s">
        <v>128</v>
      </c>
      <c r="E211" s="9" t="n">
        <f aca="false">IF(C211="inhibition",-1,1)</f>
        <v>-1</v>
      </c>
      <c r="F211" s="8" t="s">
        <v>908</v>
      </c>
      <c r="G211" s="10" t="s">
        <v>909</v>
      </c>
      <c r="H211" s="8" t="s">
        <v>910</v>
      </c>
      <c r="I211" s="8" t="s">
        <v>158</v>
      </c>
      <c r="J211" s="8" t="s">
        <v>83</v>
      </c>
      <c r="K211" s="8" t="s">
        <v>499</v>
      </c>
      <c r="L211" s="8"/>
      <c r="M211" s="8" t="s">
        <v>86</v>
      </c>
      <c r="N211" s="8"/>
      <c r="O211" s="8" t="s">
        <v>214</v>
      </c>
      <c r="P211" s="8" t="s">
        <v>87</v>
      </c>
      <c r="Q211" s="8" t="s">
        <v>1095</v>
      </c>
      <c r="R211" s="8" t="s">
        <v>117</v>
      </c>
      <c r="S211" s="8" t="s">
        <v>501</v>
      </c>
      <c r="T211" s="8" t="s">
        <v>911</v>
      </c>
    </row>
    <row r="212" customFormat="false" ht="15" hidden="false" customHeight="false" outlineLevel="0" collapsed="false">
      <c r="A212" s="8" t="s">
        <v>1096</v>
      </c>
      <c r="B212" s="8" t="s">
        <v>371</v>
      </c>
      <c r="C212" s="8" t="s">
        <v>77</v>
      </c>
      <c r="D212" s="8" t="s">
        <v>515</v>
      </c>
      <c r="E212" s="9" t="n">
        <f aca="false">IF(C212="inhibition",-1,1)</f>
        <v>1</v>
      </c>
      <c r="F212" s="8" t="s">
        <v>1097</v>
      </c>
      <c r="G212" s="8"/>
      <c r="H212" s="8"/>
      <c r="I212" s="8" t="s">
        <v>82</v>
      </c>
      <c r="J212" s="8" t="s">
        <v>106</v>
      </c>
      <c r="K212" s="8" t="s">
        <v>84</v>
      </c>
      <c r="L212" s="8"/>
      <c r="M212" s="8" t="s">
        <v>213</v>
      </c>
      <c r="N212" s="8"/>
      <c r="O212" s="8" t="s">
        <v>183</v>
      </c>
      <c r="P212" s="8" t="s">
        <v>87</v>
      </c>
      <c r="Q212" s="8" t="s">
        <v>97</v>
      </c>
      <c r="R212" s="8" t="s">
        <v>430</v>
      </c>
      <c r="S212" s="8" t="s">
        <v>99</v>
      </c>
      <c r="T212" s="8" t="s">
        <v>1098</v>
      </c>
    </row>
    <row r="213" customFormat="false" ht="15" hidden="false" customHeight="false" outlineLevel="0" collapsed="false">
      <c r="A213" s="8" t="s">
        <v>1099</v>
      </c>
      <c r="B213" s="8" t="s">
        <v>178</v>
      </c>
      <c r="C213" s="8" t="s">
        <v>77</v>
      </c>
      <c r="D213" s="8" t="s">
        <v>335</v>
      </c>
      <c r="E213" s="9" t="n">
        <f aca="false">IF(C213="inhibition",-1,1)</f>
        <v>1</v>
      </c>
      <c r="F213" s="8" t="s">
        <v>1100</v>
      </c>
      <c r="G213" s="10" t="s">
        <v>1101</v>
      </c>
      <c r="H213" s="8" t="s">
        <v>1102</v>
      </c>
      <c r="I213" s="8" t="s">
        <v>82</v>
      </c>
      <c r="J213" s="8" t="s">
        <v>106</v>
      </c>
      <c r="K213" s="8" t="s">
        <v>84</v>
      </c>
      <c r="L213" s="8"/>
      <c r="M213" s="8" t="s">
        <v>549</v>
      </c>
      <c r="N213" s="8"/>
      <c r="O213" s="8" t="s">
        <v>151</v>
      </c>
      <c r="P213" s="8" t="s">
        <v>87</v>
      </c>
      <c r="Q213" s="8" t="s">
        <v>422</v>
      </c>
      <c r="R213" s="8" t="s">
        <v>1103</v>
      </c>
      <c r="S213" s="8" t="s">
        <v>99</v>
      </c>
      <c r="T213" s="8" t="s">
        <v>1104</v>
      </c>
    </row>
    <row r="214" customFormat="false" ht="15" hidden="false" customHeight="false" outlineLevel="0" collapsed="false">
      <c r="A214" s="8" t="s">
        <v>1105</v>
      </c>
      <c r="B214" s="8" t="s">
        <v>804</v>
      </c>
      <c r="C214" s="8" t="s">
        <v>77</v>
      </c>
      <c r="D214" s="8" t="s">
        <v>335</v>
      </c>
      <c r="E214" s="9" t="n">
        <f aca="false">IF(C214="inhibition",-1,1)</f>
        <v>1</v>
      </c>
      <c r="F214" s="8" t="s">
        <v>1106</v>
      </c>
      <c r="G214" s="10" t="s">
        <v>1107</v>
      </c>
      <c r="H214" s="8" t="s">
        <v>1108</v>
      </c>
      <c r="I214" s="8" t="s">
        <v>158</v>
      </c>
      <c r="J214" s="8" t="s">
        <v>159</v>
      </c>
      <c r="K214" s="8" t="s">
        <v>160</v>
      </c>
      <c r="L214" s="8"/>
      <c r="M214" s="8" t="s">
        <v>86</v>
      </c>
      <c r="N214" s="8"/>
      <c r="O214" s="8" t="s">
        <v>151</v>
      </c>
      <c r="P214" s="8" t="s">
        <v>87</v>
      </c>
      <c r="Q214" s="8" t="s">
        <v>326</v>
      </c>
      <c r="R214" s="8" t="s">
        <v>160</v>
      </c>
      <c r="S214" s="8" t="s">
        <v>160</v>
      </c>
      <c r="T214" s="8" t="s">
        <v>1109</v>
      </c>
    </row>
    <row r="215" customFormat="false" ht="15" hidden="false" customHeight="false" outlineLevel="0" collapsed="false">
      <c r="A215" s="8" t="s">
        <v>1110</v>
      </c>
      <c r="B215" s="8" t="s">
        <v>539</v>
      </c>
      <c r="C215" s="8" t="s">
        <v>144</v>
      </c>
      <c r="D215" s="8" t="s">
        <v>335</v>
      </c>
      <c r="E215" s="9" t="n">
        <f aca="false">IF(C215="inhibition",-1,1)</f>
        <v>-1</v>
      </c>
      <c r="F215" s="8" t="s">
        <v>1111</v>
      </c>
      <c r="G215" s="10" t="s">
        <v>1112</v>
      </c>
      <c r="H215" s="8" t="s">
        <v>1113</v>
      </c>
      <c r="I215" s="8" t="s">
        <v>158</v>
      </c>
      <c r="J215" s="8" t="s">
        <v>159</v>
      </c>
      <c r="K215" s="8" t="s">
        <v>160</v>
      </c>
      <c r="L215" s="8"/>
      <c r="M215" s="8" t="s">
        <v>86</v>
      </c>
      <c r="N215" s="8"/>
      <c r="O215" s="8" t="s">
        <v>151</v>
      </c>
      <c r="P215" s="8" t="s">
        <v>87</v>
      </c>
      <c r="Q215" s="8" t="s">
        <v>160</v>
      </c>
      <c r="R215" s="8" t="s">
        <v>160</v>
      </c>
      <c r="S215" s="8" t="s">
        <v>160</v>
      </c>
      <c r="T215" s="8" t="s">
        <v>1114</v>
      </c>
    </row>
    <row r="216" customFormat="false" ht="15" hidden="false" customHeight="false" outlineLevel="0" collapsed="false">
      <c r="A216" s="8" t="s">
        <v>1115</v>
      </c>
      <c r="B216" s="8" t="s">
        <v>602</v>
      </c>
      <c r="C216" s="8" t="s">
        <v>77</v>
      </c>
      <c r="D216" s="8" t="s">
        <v>134</v>
      </c>
      <c r="E216" s="9" t="n">
        <f aca="false">IF(C216="inhibition",-1,1)</f>
        <v>1</v>
      </c>
      <c r="F216" s="8" t="s">
        <v>913</v>
      </c>
      <c r="G216" s="10" t="s">
        <v>914</v>
      </c>
      <c r="H216" s="8" t="s">
        <v>915</v>
      </c>
      <c r="I216" s="8" t="s">
        <v>138</v>
      </c>
      <c r="J216" s="8" t="s">
        <v>83</v>
      </c>
      <c r="K216" s="8" t="s">
        <v>84</v>
      </c>
      <c r="L216" s="8"/>
      <c r="M216" s="8" t="s">
        <v>86</v>
      </c>
      <c r="N216" s="8"/>
      <c r="O216" s="8" t="s">
        <v>443</v>
      </c>
      <c r="P216" s="8" t="s">
        <v>124</v>
      </c>
      <c r="Q216" s="8" t="s">
        <v>190</v>
      </c>
      <c r="R216" s="8" t="s">
        <v>117</v>
      </c>
      <c r="S216" s="8" t="s">
        <v>125</v>
      </c>
      <c r="T216" s="8" t="s">
        <v>916</v>
      </c>
    </row>
    <row r="217" customFormat="false" ht="15" hidden="false" customHeight="false" outlineLevel="0" collapsed="false">
      <c r="A217" s="8" t="s">
        <v>1116</v>
      </c>
      <c r="B217" s="8" t="s">
        <v>978</v>
      </c>
      <c r="C217" s="8" t="s">
        <v>77</v>
      </c>
      <c r="D217" s="8" t="s">
        <v>134</v>
      </c>
      <c r="E217" s="9" t="n">
        <f aca="false">IF(C217="inhibition",-1,1)</f>
        <v>1</v>
      </c>
      <c r="F217" s="8" t="s">
        <v>979</v>
      </c>
      <c r="G217" s="10" t="s">
        <v>980</v>
      </c>
      <c r="H217" s="8" t="s">
        <v>981</v>
      </c>
      <c r="I217" s="8" t="s">
        <v>158</v>
      </c>
      <c r="J217" s="8" t="s">
        <v>159</v>
      </c>
      <c r="K217" s="8" t="s">
        <v>160</v>
      </c>
      <c r="L217" s="8"/>
      <c r="M217" s="8" t="s">
        <v>86</v>
      </c>
      <c r="N217" s="8"/>
      <c r="O217" s="8" t="s">
        <v>124</v>
      </c>
      <c r="P217" s="8" t="s">
        <v>124</v>
      </c>
      <c r="Q217" s="8" t="s">
        <v>160</v>
      </c>
      <c r="R217" s="8" t="s">
        <v>160</v>
      </c>
      <c r="S217" s="8" t="s">
        <v>160</v>
      </c>
      <c r="T217" s="8" t="s">
        <v>982</v>
      </c>
    </row>
    <row r="218" customFormat="false" ht="15" hidden="false" customHeight="false" outlineLevel="0" collapsed="false">
      <c r="A218" s="8" t="s">
        <v>1117</v>
      </c>
      <c r="B218" s="8" t="s">
        <v>194</v>
      </c>
      <c r="C218" s="8" t="s">
        <v>77</v>
      </c>
      <c r="D218" s="8" t="s">
        <v>134</v>
      </c>
      <c r="E218" s="9" t="n">
        <f aca="false">IF(C218="inhibition",-1,1)</f>
        <v>1</v>
      </c>
      <c r="F218" s="8" t="s">
        <v>1118</v>
      </c>
      <c r="G218" s="10" t="s">
        <v>1119</v>
      </c>
      <c r="H218" s="8" t="s">
        <v>1120</v>
      </c>
      <c r="I218" s="8" t="s">
        <v>82</v>
      </c>
      <c r="J218" s="8" t="s">
        <v>83</v>
      </c>
      <c r="K218" s="8" t="s">
        <v>84</v>
      </c>
      <c r="L218" s="8" t="s">
        <v>1121</v>
      </c>
      <c r="M218" s="8" t="s">
        <v>86</v>
      </c>
      <c r="N218" s="8"/>
      <c r="O218" s="8" t="s">
        <v>199</v>
      </c>
      <c r="P218" s="8" t="s">
        <v>124</v>
      </c>
      <c r="Q218" s="8" t="s">
        <v>89</v>
      </c>
      <c r="R218" s="8" t="s">
        <v>90</v>
      </c>
      <c r="S218" s="8" t="s">
        <v>84</v>
      </c>
      <c r="T218" s="8" t="s">
        <v>1122</v>
      </c>
    </row>
    <row r="219" customFormat="false" ht="15" hidden="false" customHeight="false" outlineLevel="0" collapsed="false">
      <c r="A219" s="8" t="s">
        <v>1123</v>
      </c>
      <c r="B219" s="8" t="s">
        <v>439</v>
      </c>
      <c r="C219" s="8" t="s">
        <v>77</v>
      </c>
      <c r="D219" s="8" t="s">
        <v>1124</v>
      </c>
      <c r="E219" s="9" t="n">
        <f aca="false">IF(C219="inhibition",-1,1)</f>
        <v>1</v>
      </c>
      <c r="F219" s="8" t="s">
        <v>1125</v>
      </c>
      <c r="G219" s="8"/>
      <c r="H219" s="8"/>
      <c r="I219" s="8" t="s">
        <v>158</v>
      </c>
      <c r="J219" s="8" t="s">
        <v>159</v>
      </c>
      <c r="K219" s="8" t="s">
        <v>160</v>
      </c>
      <c r="L219" s="8"/>
      <c r="M219" s="8" t="s">
        <v>213</v>
      </c>
      <c r="N219" s="8"/>
      <c r="O219" s="8" t="s">
        <v>443</v>
      </c>
      <c r="P219" s="8" t="s">
        <v>443</v>
      </c>
      <c r="Q219" s="8" t="s">
        <v>215</v>
      </c>
      <c r="R219" s="8" t="s">
        <v>160</v>
      </c>
      <c r="S219" s="8" t="s">
        <v>160</v>
      </c>
      <c r="T219" s="8" t="s">
        <v>1126</v>
      </c>
    </row>
    <row r="220" customFormat="false" ht="15" hidden="false" customHeight="false" outlineLevel="0" collapsed="false">
      <c r="A220" s="8" t="s">
        <v>1127</v>
      </c>
      <c r="B220" s="8" t="s">
        <v>1128</v>
      </c>
      <c r="C220" s="8" t="s">
        <v>77</v>
      </c>
      <c r="D220" s="8" t="s">
        <v>1124</v>
      </c>
      <c r="E220" s="9" t="n">
        <f aca="false">IF(C220="inhibition",-1,1)</f>
        <v>1</v>
      </c>
      <c r="F220" s="8" t="s">
        <v>1129</v>
      </c>
      <c r="G220" s="10" t="s">
        <v>1130</v>
      </c>
      <c r="H220" s="8" t="s">
        <v>1131</v>
      </c>
      <c r="I220" s="8" t="s">
        <v>82</v>
      </c>
      <c r="J220" s="8" t="s">
        <v>83</v>
      </c>
      <c r="K220" s="8" t="s">
        <v>84</v>
      </c>
      <c r="L220" s="8"/>
      <c r="M220" s="8" t="s">
        <v>86</v>
      </c>
      <c r="N220" s="8"/>
      <c r="O220" s="8" t="s">
        <v>443</v>
      </c>
      <c r="P220" s="8" t="s">
        <v>443</v>
      </c>
      <c r="Q220" s="8" t="s">
        <v>97</v>
      </c>
      <c r="R220" s="8" t="s">
        <v>98</v>
      </c>
      <c r="S220" s="8" t="s">
        <v>99</v>
      </c>
      <c r="T220" s="8" t="s">
        <v>1132</v>
      </c>
    </row>
    <row r="221" customFormat="false" ht="15" hidden="false" customHeight="false" outlineLevel="0" collapsed="false">
      <c r="A221" s="8" t="s">
        <v>1133</v>
      </c>
      <c r="B221" s="8" t="s">
        <v>1134</v>
      </c>
      <c r="C221" s="8" t="s">
        <v>77</v>
      </c>
      <c r="D221" s="8" t="s">
        <v>1124</v>
      </c>
      <c r="E221" s="9" t="n">
        <f aca="false">IF(C221="inhibition",-1,1)</f>
        <v>1</v>
      </c>
      <c r="F221" s="8" t="s">
        <v>1129</v>
      </c>
      <c r="G221" s="10" t="s">
        <v>1130</v>
      </c>
      <c r="H221" s="8" t="s">
        <v>1131</v>
      </c>
      <c r="I221" s="8" t="s">
        <v>82</v>
      </c>
      <c r="J221" s="8" t="s">
        <v>83</v>
      </c>
      <c r="K221" s="8" t="s">
        <v>84</v>
      </c>
      <c r="L221" s="8"/>
      <c r="M221" s="8" t="s">
        <v>86</v>
      </c>
      <c r="N221" s="8"/>
      <c r="O221" s="8" t="s">
        <v>443</v>
      </c>
      <c r="P221" s="8" t="s">
        <v>443</v>
      </c>
      <c r="Q221" s="8" t="s">
        <v>97</v>
      </c>
      <c r="R221" s="8" t="s">
        <v>98</v>
      </c>
      <c r="S221" s="8" t="s">
        <v>99</v>
      </c>
      <c r="T221" s="8" t="s">
        <v>1132</v>
      </c>
    </row>
    <row r="222" customFormat="false" ht="15" hidden="false" customHeight="false" outlineLevel="0" collapsed="false">
      <c r="A222" s="8" t="s">
        <v>1135</v>
      </c>
      <c r="B222" s="8" t="s">
        <v>174</v>
      </c>
      <c r="C222" s="8" t="s">
        <v>77</v>
      </c>
      <c r="D222" s="8" t="s">
        <v>154</v>
      </c>
      <c r="E222" s="9" t="n">
        <f aca="false">IF(C222="inhibition",-1,1)</f>
        <v>1</v>
      </c>
      <c r="F222" s="8" t="s">
        <v>1136</v>
      </c>
      <c r="G222" s="10" t="s">
        <v>1137</v>
      </c>
      <c r="H222" s="8" t="s">
        <v>1138</v>
      </c>
      <c r="I222" s="8" t="s">
        <v>82</v>
      </c>
      <c r="J222" s="8" t="s">
        <v>106</v>
      </c>
      <c r="K222" s="8" t="s">
        <v>84</v>
      </c>
      <c r="L222" s="8"/>
      <c r="M222" s="8" t="s">
        <v>549</v>
      </c>
      <c r="N222" s="8"/>
      <c r="O222" s="8" t="s">
        <v>151</v>
      </c>
      <c r="P222" s="8" t="s">
        <v>151</v>
      </c>
      <c r="Q222" s="8" t="s">
        <v>97</v>
      </c>
      <c r="R222" s="8" t="s">
        <v>107</v>
      </c>
      <c r="S222" s="8" t="s">
        <v>99</v>
      </c>
      <c r="T222" s="8" t="s">
        <v>1139</v>
      </c>
    </row>
    <row r="223" customFormat="false" ht="15" hidden="false" customHeight="false" outlineLevel="0" collapsed="false">
      <c r="A223" s="8" t="s">
        <v>1140</v>
      </c>
      <c r="B223" s="8" t="s">
        <v>163</v>
      </c>
      <c r="C223" s="8" t="s">
        <v>77</v>
      </c>
      <c r="D223" s="8" t="s">
        <v>172</v>
      </c>
      <c r="E223" s="9" t="n">
        <f aca="false">IF(C223="inhibition",-1,1)</f>
        <v>1</v>
      </c>
      <c r="F223" s="8" t="s">
        <v>1136</v>
      </c>
      <c r="G223" s="10" t="s">
        <v>1137</v>
      </c>
      <c r="H223" s="8" t="s">
        <v>1138</v>
      </c>
      <c r="I223" s="8" t="s">
        <v>82</v>
      </c>
      <c r="J223" s="8" t="s">
        <v>106</v>
      </c>
      <c r="K223" s="8" t="s">
        <v>84</v>
      </c>
      <c r="L223" s="8"/>
      <c r="M223" s="8" t="s">
        <v>549</v>
      </c>
      <c r="N223" s="8"/>
      <c r="O223" s="8" t="s">
        <v>151</v>
      </c>
      <c r="P223" s="8" t="s">
        <v>151</v>
      </c>
      <c r="Q223" s="8" t="s">
        <v>97</v>
      </c>
      <c r="R223" s="8" t="s">
        <v>107</v>
      </c>
      <c r="S223" s="8" t="s">
        <v>99</v>
      </c>
      <c r="T223" s="8" t="s">
        <v>1139</v>
      </c>
    </row>
    <row r="224" customFormat="false" ht="15" hidden="false" customHeight="false" outlineLevel="0" collapsed="false">
      <c r="A224" s="8" t="s">
        <v>1141</v>
      </c>
      <c r="B224" s="8" t="s">
        <v>509</v>
      </c>
      <c r="C224" s="8" t="s">
        <v>77</v>
      </c>
      <c r="D224" s="8" t="s">
        <v>1142</v>
      </c>
      <c r="E224" s="9" t="n">
        <f aca="false">IF(C224="inhibition",-1,1)</f>
        <v>1</v>
      </c>
      <c r="F224" s="8" t="s">
        <v>1097</v>
      </c>
      <c r="G224" s="8"/>
      <c r="H224" s="8"/>
      <c r="I224" s="8" t="s">
        <v>82</v>
      </c>
      <c r="J224" s="8" t="s">
        <v>106</v>
      </c>
      <c r="K224" s="8" t="s">
        <v>84</v>
      </c>
      <c r="L224" s="8"/>
      <c r="M224" s="8" t="s">
        <v>213</v>
      </c>
      <c r="N224" s="8"/>
      <c r="O224" s="8" t="s">
        <v>151</v>
      </c>
      <c r="P224" s="8" t="s">
        <v>151</v>
      </c>
      <c r="Q224" s="8" t="s">
        <v>97</v>
      </c>
      <c r="R224" s="8" t="s">
        <v>430</v>
      </c>
      <c r="S224" s="8" t="s">
        <v>99</v>
      </c>
      <c r="T224" s="8" t="s">
        <v>1143</v>
      </c>
    </row>
    <row r="225" customFormat="false" ht="15" hidden="false" customHeight="false" outlineLevel="0" collapsed="false">
      <c r="A225" s="8" t="s">
        <v>1144</v>
      </c>
      <c r="B225" s="8" t="s">
        <v>1145</v>
      </c>
      <c r="C225" s="8" t="s">
        <v>77</v>
      </c>
      <c r="D225" s="8" t="s">
        <v>1142</v>
      </c>
      <c r="E225" s="9" t="n">
        <f aca="false">IF(C225="inhibition",-1,1)</f>
        <v>1</v>
      </c>
      <c r="F225" s="8" t="s">
        <v>1146</v>
      </c>
      <c r="G225" s="10" t="s">
        <v>1147</v>
      </c>
      <c r="H225" s="8" t="s">
        <v>1148</v>
      </c>
      <c r="I225" s="8" t="s">
        <v>158</v>
      </c>
      <c r="J225" s="8" t="s">
        <v>159</v>
      </c>
      <c r="K225" s="8" t="s">
        <v>160</v>
      </c>
      <c r="L225" s="8"/>
      <c r="M225" s="8" t="s">
        <v>86</v>
      </c>
      <c r="N225" s="8"/>
      <c r="O225" s="8" t="s">
        <v>183</v>
      </c>
      <c r="P225" s="8" t="s">
        <v>151</v>
      </c>
      <c r="Q225" s="8" t="s">
        <v>1149</v>
      </c>
      <c r="R225" s="8" t="s">
        <v>160</v>
      </c>
      <c r="S225" s="8" t="s">
        <v>160</v>
      </c>
      <c r="T225" s="8" t="s">
        <v>1150</v>
      </c>
    </row>
    <row r="226" customFormat="false" ht="15" hidden="false" customHeight="false" outlineLevel="0" collapsed="false">
      <c r="A226" s="8" t="s">
        <v>1151</v>
      </c>
      <c r="B226" s="8" t="s">
        <v>76</v>
      </c>
      <c r="C226" s="8" t="s">
        <v>77</v>
      </c>
      <c r="D226" s="8" t="s">
        <v>1152</v>
      </c>
      <c r="E226" s="9" t="n">
        <f aca="false">IF(C226="inhibition",-1,1)</f>
        <v>1</v>
      </c>
      <c r="F226" s="8" t="s">
        <v>1153</v>
      </c>
      <c r="G226" s="10" t="s">
        <v>1154</v>
      </c>
      <c r="H226" s="8" t="s">
        <v>1155</v>
      </c>
      <c r="I226" s="8" t="s">
        <v>82</v>
      </c>
      <c r="J226" s="8" t="s">
        <v>83</v>
      </c>
      <c r="K226" s="8" t="s">
        <v>84</v>
      </c>
      <c r="L226" s="8"/>
      <c r="M226" s="8" t="s">
        <v>86</v>
      </c>
      <c r="N226" s="8"/>
      <c r="O226" s="8" t="s">
        <v>87</v>
      </c>
      <c r="P226" s="8" t="s">
        <v>151</v>
      </c>
      <c r="Q226" s="8" t="s">
        <v>97</v>
      </c>
      <c r="R226" s="8" t="s">
        <v>98</v>
      </c>
      <c r="S226" s="8" t="s">
        <v>99</v>
      </c>
      <c r="T226" s="8" t="s">
        <v>1156</v>
      </c>
    </row>
    <row r="227" customFormat="false" ht="15" hidden="false" customHeight="false" outlineLevel="0" collapsed="false">
      <c r="A227" s="8" t="s">
        <v>1157</v>
      </c>
      <c r="B227" s="8" t="s">
        <v>602</v>
      </c>
      <c r="C227" s="8" t="s">
        <v>77</v>
      </c>
      <c r="D227" s="8" t="s">
        <v>1158</v>
      </c>
      <c r="E227" s="9" t="n">
        <f aca="false">IF(C227="inhibition",-1,1)</f>
        <v>1</v>
      </c>
      <c r="F227" s="8" t="s">
        <v>1159</v>
      </c>
      <c r="G227" s="10" t="s">
        <v>1160</v>
      </c>
      <c r="H227" s="8" t="s">
        <v>1161</v>
      </c>
      <c r="I227" s="8" t="s">
        <v>82</v>
      </c>
      <c r="J227" s="8" t="s">
        <v>83</v>
      </c>
      <c r="K227" s="8" t="s">
        <v>84</v>
      </c>
      <c r="L227" s="8"/>
      <c r="M227" s="8" t="s">
        <v>86</v>
      </c>
      <c r="N227" s="8"/>
      <c r="O227" s="8" t="s">
        <v>443</v>
      </c>
      <c r="P227" s="8" t="s">
        <v>151</v>
      </c>
      <c r="Q227" s="8" t="s">
        <v>1162</v>
      </c>
      <c r="R227" s="8" t="s">
        <v>117</v>
      </c>
      <c r="S227" s="8" t="s">
        <v>108</v>
      </c>
      <c r="T227" s="8" t="s">
        <v>1163</v>
      </c>
    </row>
    <row r="228" customFormat="false" ht="15" hidden="false" customHeight="false" outlineLevel="0" collapsed="false">
      <c r="A228" s="8" t="s">
        <v>1164</v>
      </c>
      <c r="B228" s="8" t="s">
        <v>438</v>
      </c>
      <c r="C228" s="8" t="s">
        <v>77</v>
      </c>
      <c r="D228" s="8" t="s">
        <v>1165</v>
      </c>
      <c r="E228" s="9" t="n">
        <f aca="false">IF(C228="inhibition",-1,1)</f>
        <v>1</v>
      </c>
      <c r="F228" s="8" t="s">
        <v>1159</v>
      </c>
      <c r="G228" s="10" t="s">
        <v>1160</v>
      </c>
      <c r="H228" s="8" t="s">
        <v>1161</v>
      </c>
      <c r="I228" s="8" t="s">
        <v>82</v>
      </c>
      <c r="J228" s="8" t="s">
        <v>83</v>
      </c>
      <c r="K228" s="8" t="s">
        <v>84</v>
      </c>
      <c r="L228" s="8"/>
      <c r="M228" s="8" t="s">
        <v>86</v>
      </c>
      <c r="N228" s="8"/>
      <c r="O228" s="8" t="s">
        <v>443</v>
      </c>
      <c r="P228" s="8" t="s">
        <v>151</v>
      </c>
      <c r="Q228" s="8" t="s">
        <v>97</v>
      </c>
      <c r="R228" s="8" t="s">
        <v>117</v>
      </c>
      <c r="S228" s="8" t="s">
        <v>108</v>
      </c>
      <c r="T228" s="8" t="s">
        <v>1163</v>
      </c>
    </row>
    <row r="229" customFormat="false" ht="15" hidden="false" customHeight="false" outlineLevel="0" collapsed="false">
      <c r="A229" s="8" t="s">
        <v>1166</v>
      </c>
      <c r="B229" s="8" t="s">
        <v>1167</v>
      </c>
      <c r="C229" s="8" t="s">
        <v>77</v>
      </c>
      <c r="D229" s="8" t="s">
        <v>360</v>
      </c>
      <c r="E229" s="9" t="n">
        <f aca="false">IF(C229="inhibition",-1,1)</f>
        <v>1</v>
      </c>
      <c r="F229" s="8" t="s">
        <v>1168</v>
      </c>
      <c r="G229" s="10" t="s">
        <v>1169</v>
      </c>
      <c r="H229" s="8" t="s">
        <v>1170</v>
      </c>
      <c r="I229" s="8" t="s">
        <v>82</v>
      </c>
      <c r="J229" s="8" t="s">
        <v>83</v>
      </c>
      <c r="K229" s="8" t="s">
        <v>84</v>
      </c>
      <c r="L229" s="8"/>
      <c r="M229" s="8" t="s">
        <v>86</v>
      </c>
      <c r="N229" s="8"/>
      <c r="O229" s="8" t="s">
        <v>345</v>
      </c>
      <c r="P229" s="8" t="s">
        <v>345</v>
      </c>
      <c r="Q229" s="8" t="s">
        <v>97</v>
      </c>
      <c r="R229" s="8" t="s">
        <v>117</v>
      </c>
      <c r="S229" s="8" t="s">
        <v>99</v>
      </c>
      <c r="T229" s="8" t="s">
        <v>1171</v>
      </c>
    </row>
    <row r="230" customFormat="false" ht="15" hidden="false" customHeight="false" outlineLevel="0" collapsed="false">
      <c r="A230" s="8" t="s">
        <v>1172</v>
      </c>
      <c r="B230" s="8" t="s">
        <v>844</v>
      </c>
      <c r="C230" s="8" t="s">
        <v>144</v>
      </c>
      <c r="D230" s="8" t="s">
        <v>360</v>
      </c>
      <c r="E230" s="9" t="n">
        <f aca="false">IF(C230="inhibition",-1,1)</f>
        <v>-1</v>
      </c>
      <c r="F230" s="8" t="s">
        <v>1173</v>
      </c>
      <c r="G230" s="10" t="s">
        <v>1174</v>
      </c>
      <c r="H230" s="8" t="s">
        <v>1175</v>
      </c>
      <c r="I230" s="8" t="s">
        <v>158</v>
      </c>
      <c r="J230" s="8" t="s">
        <v>83</v>
      </c>
      <c r="K230" s="8" t="s">
        <v>84</v>
      </c>
      <c r="L230" s="8" t="s">
        <v>1176</v>
      </c>
      <c r="M230" s="8" t="s">
        <v>86</v>
      </c>
      <c r="N230" s="8"/>
      <c r="O230" s="8" t="s">
        <v>345</v>
      </c>
      <c r="P230" s="8" t="s">
        <v>345</v>
      </c>
      <c r="Q230" s="8" t="s">
        <v>1177</v>
      </c>
      <c r="R230" s="8" t="s">
        <v>1178</v>
      </c>
      <c r="S230" s="8" t="s">
        <v>84</v>
      </c>
      <c r="T230" s="8" t="s">
        <v>1179</v>
      </c>
    </row>
    <row r="231" customFormat="false" ht="15" hidden="false" customHeight="false" outlineLevel="0" collapsed="false">
      <c r="A231" s="8" t="s">
        <v>1180</v>
      </c>
      <c r="B231" s="8" t="s">
        <v>1158</v>
      </c>
      <c r="C231" s="8" t="s">
        <v>77</v>
      </c>
      <c r="D231" s="8" t="s">
        <v>174</v>
      </c>
      <c r="E231" s="9" t="n">
        <f aca="false">IF(C231="inhibition",-1,1)</f>
        <v>1</v>
      </c>
      <c r="F231" s="8" t="s">
        <v>1181</v>
      </c>
      <c r="G231" s="10" t="s">
        <v>1182</v>
      </c>
      <c r="H231" s="8"/>
      <c r="I231" s="8" t="s">
        <v>158</v>
      </c>
      <c r="J231" s="8" t="s">
        <v>159</v>
      </c>
      <c r="K231" s="8" t="s">
        <v>160</v>
      </c>
      <c r="L231" s="8"/>
      <c r="M231" s="8" t="s">
        <v>86</v>
      </c>
      <c r="N231" s="8"/>
      <c r="O231" s="8" t="s">
        <v>151</v>
      </c>
      <c r="P231" s="8" t="s">
        <v>151</v>
      </c>
      <c r="Q231" s="8" t="s">
        <v>160</v>
      </c>
      <c r="R231" s="8" t="s">
        <v>160</v>
      </c>
      <c r="S231" s="8" t="s">
        <v>160</v>
      </c>
      <c r="T231" s="8" t="s">
        <v>1183</v>
      </c>
    </row>
    <row r="232" customFormat="false" ht="15" hidden="false" customHeight="false" outlineLevel="0" collapsed="false">
      <c r="A232" s="8" t="s">
        <v>1184</v>
      </c>
      <c r="B232" s="8" t="s">
        <v>1185</v>
      </c>
      <c r="C232" s="8" t="s">
        <v>144</v>
      </c>
      <c r="D232" s="8" t="s">
        <v>174</v>
      </c>
      <c r="E232" s="9" t="n">
        <f aca="false">IF(C232="inhibition",-1,1)</f>
        <v>-1</v>
      </c>
      <c r="F232" s="8" t="s">
        <v>1186</v>
      </c>
      <c r="G232" s="10" t="s">
        <v>1187</v>
      </c>
      <c r="H232" s="8" t="s">
        <v>1188</v>
      </c>
      <c r="I232" s="8" t="s">
        <v>158</v>
      </c>
      <c r="J232" s="8" t="s">
        <v>83</v>
      </c>
      <c r="K232" s="8" t="s">
        <v>84</v>
      </c>
      <c r="L232" s="8" t="s">
        <v>1189</v>
      </c>
      <c r="M232" s="8" t="s">
        <v>86</v>
      </c>
      <c r="N232" s="8"/>
      <c r="O232" s="8" t="s">
        <v>151</v>
      </c>
      <c r="P232" s="8" t="s">
        <v>151</v>
      </c>
      <c r="Q232" s="8" t="s">
        <v>589</v>
      </c>
      <c r="R232" s="8" t="s">
        <v>1190</v>
      </c>
      <c r="S232" s="8" t="s">
        <v>1191</v>
      </c>
      <c r="T232" s="8" t="s">
        <v>1192</v>
      </c>
    </row>
    <row r="233" customFormat="false" ht="15" hidden="false" customHeight="false" outlineLevel="0" collapsed="false">
      <c r="A233" s="8" t="s">
        <v>1193</v>
      </c>
      <c r="B233" s="8" t="s">
        <v>1165</v>
      </c>
      <c r="C233" s="8" t="s">
        <v>77</v>
      </c>
      <c r="D233" s="8" t="s">
        <v>163</v>
      </c>
      <c r="E233" s="9" t="n">
        <f aca="false">IF(C233="inhibition",-1,1)</f>
        <v>1</v>
      </c>
      <c r="F233" s="8" t="s">
        <v>1181</v>
      </c>
      <c r="G233" s="10" t="s">
        <v>1182</v>
      </c>
      <c r="H233" s="8"/>
      <c r="I233" s="8" t="s">
        <v>158</v>
      </c>
      <c r="J233" s="8" t="s">
        <v>159</v>
      </c>
      <c r="K233" s="8" t="s">
        <v>160</v>
      </c>
      <c r="L233" s="8"/>
      <c r="M233" s="8" t="s">
        <v>86</v>
      </c>
      <c r="N233" s="8"/>
      <c r="O233" s="8" t="s">
        <v>151</v>
      </c>
      <c r="P233" s="8" t="s">
        <v>151</v>
      </c>
      <c r="Q233" s="8" t="s">
        <v>160</v>
      </c>
      <c r="R233" s="8" t="s">
        <v>160</v>
      </c>
      <c r="S233" s="8" t="s">
        <v>160</v>
      </c>
      <c r="T233" s="8" t="s">
        <v>1183</v>
      </c>
    </row>
    <row r="234" customFormat="false" ht="15" hidden="false" customHeight="false" outlineLevel="0" collapsed="false">
      <c r="A234" s="8" t="s">
        <v>1194</v>
      </c>
      <c r="B234" s="8" t="s">
        <v>177</v>
      </c>
      <c r="C234" s="8" t="s">
        <v>77</v>
      </c>
      <c r="D234" s="8" t="s">
        <v>1195</v>
      </c>
      <c r="E234" s="9" t="n">
        <f aca="false">IF(C234="inhibition",-1,1)</f>
        <v>1</v>
      </c>
      <c r="F234" s="8" t="s">
        <v>1196</v>
      </c>
      <c r="G234" s="10" t="s">
        <v>1197</v>
      </c>
      <c r="H234" s="8" t="s">
        <v>1198</v>
      </c>
      <c r="I234" s="8" t="s">
        <v>158</v>
      </c>
      <c r="J234" s="8" t="s">
        <v>159</v>
      </c>
      <c r="K234" s="8" t="s">
        <v>160</v>
      </c>
      <c r="L234" s="8"/>
      <c r="M234" s="8" t="s">
        <v>86</v>
      </c>
      <c r="N234" s="8"/>
      <c r="O234" s="8" t="s">
        <v>183</v>
      </c>
      <c r="P234" s="8" t="s">
        <v>183</v>
      </c>
      <c r="Q234" s="8" t="s">
        <v>215</v>
      </c>
      <c r="R234" s="8" t="s">
        <v>160</v>
      </c>
      <c r="S234" s="8" t="s">
        <v>160</v>
      </c>
      <c r="T234" s="8" t="s">
        <v>1199</v>
      </c>
    </row>
    <row r="235" customFormat="false" ht="15" hidden="false" customHeight="false" outlineLevel="0" collapsed="false">
      <c r="A235" s="8" t="s">
        <v>1200</v>
      </c>
      <c r="B235" s="8" t="s">
        <v>620</v>
      </c>
      <c r="C235" s="8" t="s">
        <v>77</v>
      </c>
      <c r="D235" s="8" t="s">
        <v>1195</v>
      </c>
      <c r="E235" s="9" t="n">
        <f aca="false">IF(C235="inhibition",-1,1)</f>
        <v>1</v>
      </c>
      <c r="F235" s="8" t="s">
        <v>1201</v>
      </c>
      <c r="G235" s="10" t="s">
        <v>1202</v>
      </c>
      <c r="H235" s="8" t="s">
        <v>1203</v>
      </c>
      <c r="I235" s="8" t="s">
        <v>158</v>
      </c>
      <c r="J235" s="8" t="s">
        <v>159</v>
      </c>
      <c r="K235" s="8" t="s">
        <v>160</v>
      </c>
      <c r="L235" s="8"/>
      <c r="M235" s="8" t="s">
        <v>86</v>
      </c>
      <c r="N235" s="8"/>
      <c r="O235" s="8" t="s">
        <v>345</v>
      </c>
      <c r="P235" s="8" t="s">
        <v>183</v>
      </c>
      <c r="Q235" s="8" t="s">
        <v>160</v>
      </c>
      <c r="R235" s="8" t="s">
        <v>160</v>
      </c>
      <c r="S235" s="8" t="s">
        <v>160</v>
      </c>
      <c r="T235" s="8" t="s">
        <v>1204</v>
      </c>
    </row>
    <row r="236" customFormat="false" ht="15" hidden="false" customHeight="false" outlineLevel="0" collapsed="false">
      <c r="A236" s="8" t="s">
        <v>1205</v>
      </c>
      <c r="B236" s="8" t="s">
        <v>352</v>
      </c>
      <c r="C236" s="8" t="s">
        <v>77</v>
      </c>
      <c r="D236" s="8" t="s">
        <v>1206</v>
      </c>
      <c r="E236" s="9" t="n">
        <f aca="false">IF(C236="inhibition",-1,1)</f>
        <v>1</v>
      </c>
      <c r="F236" s="8" t="s">
        <v>1196</v>
      </c>
      <c r="G236" s="10" t="s">
        <v>1197</v>
      </c>
      <c r="H236" s="8" t="s">
        <v>1198</v>
      </c>
      <c r="I236" s="8" t="s">
        <v>158</v>
      </c>
      <c r="J236" s="8" t="s">
        <v>159</v>
      </c>
      <c r="K236" s="8" t="s">
        <v>160</v>
      </c>
      <c r="L236" s="8"/>
      <c r="M236" s="8" t="s">
        <v>86</v>
      </c>
      <c r="N236" s="8"/>
      <c r="O236" s="8" t="s">
        <v>183</v>
      </c>
      <c r="P236" s="8" t="s">
        <v>183</v>
      </c>
      <c r="Q236" s="8" t="s">
        <v>215</v>
      </c>
      <c r="R236" s="8" t="s">
        <v>160</v>
      </c>
      <c r="S236" s="8" t="s">
        <v>160</v>
      </c>
      <c r="T236" s="8" t="s">
        <v>1199</v>
      </c>
    </row>
    <row r="237" customFormat="false" ht="15" hidden="false" customHeight="false" outlineLevel="0" collapsed="false">
      <c r="A237" s="8" t="s">
        <v>1207</v>
      </c>
      <c r="B237" s="8" t="s">
        <v>601</v>
      </c>
      <c r="C237" s="8" t="s">
        <v>77</v>
      </c>
      <c r="D237" s="8" t="s">
        <v>1206</v>
      </c>
      <c r="E237" s="9" t="n">
        <f aca="false">IF(C237="inhibition",-1,1)</f>
        <v>1</v>
      </c>
      <c r="F237" s="8" t="s">
        <v>1201</v>
      </c>
      <c r="G237" s="10" t="s">
        <v>1202</v>
      </c>
      <c r="H237" s="8" t="s">
        <v>1203</v>
      </c>
      <c r="I237" s="8" t="s">
        <v>158</v>
      </c>
      <c r="J237" s="8" t="s">
        <v>159</v>
      </c>
      <c r="K237" s="8" t="s">
        <v>160</v>
      </c>
      <c r="L237" s="8"/>
      <c r="M237" s="8" t="s">
        <v>86</v>
      </c>
      <c r="N237" s="8"/>
      <c r="O237" s="8" t="s">
        <v>345</v>
      </c>
      <c r="P237" s="8" t="s">
        <v>183</v>
      </c>
      <c r="Q237" s="8" t="s">
        <v>160</v>
      </c>
      <c r="R237" s="8" t="s">
        <v>160</v>
      </c>
      <c r="S237" s="8" t="s">
        <v>160</v>
      </c>
      <c r="T237" s="8" t="s">
        <v>1204</v>
      </c>
    </row>
    <row r="238" customFormat="false" ht="15" hidden="false" customHeight="false" outlineLevel="0" collapsed="false">
      <c r="A238" s="8" t="s">
        <v>1208</v>
      </c>
      <c r="B238" s="8" t="s">
        <v>1209</v>
      </c>
      <c r="C238" s="8" t="s">
        <v>77</v>
      </c>
      <c r="D238" s="8" t="s">
        <v>944</v>
      </c>
      <c r="E238" s="9" t="n">
        <f aca="false">IF(C238="inhibition",-1,1)</f>
        <v>1</v>
      </c>
      <c r="F238" s="8" t="s">
        <v>1210</v>
      </c>
      <c r="G238" s="10" t="s">
        <v>1211</v>
      </c>
      <c r="H238" s="8" t="s">
        <v>1212</v>
      </c>
      <c r="I238" s="8" t="s">
        <v>158</v>
      </c>
      <c r="J238" s="8" t="s">
        <v>159</v>
      </c>
      <c r="K238" s="8" t="s">
        <v>160</v>
      </c>
      <c r="L238" s="8"/>
      <c r="M238" s="8" t="s">
        <v>86</v>
      </c>
      <c r="N238" s="8"/>
      <c r="O238" s="8" t="s">
        <v>443</v>
      </c>
      <c r="P238" s="8" t="s">
        <v>443</v>
      </c>
      <c r="Q238" s="8" t="s">
        <v>215</v>
      </c>
      <c r="R238" s="8" t="s">
        <v>160</v>
      </c>
      <c r="S238" s="8" t="s">
        <v>160</v>
      </c>
      <c r="T238" s="8" t="s">
        <v>1213</v>
      </c>
    </row>
    <row r="239" customFormat="false" ht="15" hidden="false" customHeight="false" outlineLevel="0" collapsed="false">
      <c r="A239" s="8" t="s">
        <v>1214</v>
      </c>
      <c r="B239" s="8" t="s">
        <v>352</v>
      </c>
      <c r="C239" s="8" t="s">
        <v>77</v>
      </c>
      <c r="D239" s="8" t="s">
        <v>1145</v>
      </c>
      <c r="E239" s="9" t="n">
        <f aca="false">IF(C239="inhibition",-1,1)</f>
        <v>1</v>
      </c>
      <c r="F239" s="8" t="s">
        <v>1215</v>
      </c>
      <c r="G239" s="8"/>
      <c r="H239" s="8" t="s">
        <v>1216</v>
      </c>
      <c r="I239" s="8" t="s">
        <v>138</v>
      </c>
      <c r="J239" s="8" t="s">
        <v>159</v>
      </c>
      <c r="K239" s="8" t="s">
        <v>84</v>
      </c>
      <c r="L239" s="8"/>
      <c r="M239" s="8" t="s">
        <v>213</v>
      </c>
      <c r="N239" s="8"/>
      <c r="O239" s="8" t="s">
        <v>183</v>
      </c>
      <c r="P239" s="8" t="s">
        <v>183</v>
      </c>
      <c r="Q239" s="8" t="s">
        <v>190</v>
      </c>
      <c r="R239" s="8" t="s">
        <v>473</v>
      </c>
      <c r="S239" s="8" t="s">
        <v>99</v>
      </c>
      <c r="T239" s="8" t="s">
        <v>1217</v>
      </c>
    </row>
    <row r="240" customFormat="false" ht="15" hidden="false" customHeight="false" outlineLevel="0" collapsed="false">
      <c r="A240" s="8" t="s">
        <v>1218</v>
      </c>
      <c r="B240" s="8" t="s">
        <v>218</v>
      </c>
      <c r="C240" s="8" t="s">
        <v>77</v>
      </c>
      <c r="D240" s="8" t="s">
        <v>1145</v>
      </c>
      <c r="E240" s="9" t="n">
        <f aca="false">IF(C240="inhibition",-1,1)</f>
        <v>1</v>
      </c>
      <c r="F240" s="8" t="s">
        <v>1219</v>
      </c>
      <c r="G240" s="10" t="s">
        <v>1220</v>
      </c>
      <c r="H240" s="8" t="s">
        <v>1221</v>
      </c>
      <c r="I240" s="8" t="s">
        <v>158</v>
      </c>
      <c r="J240" s="8" t="s">
        <v>159</v>
      </c>
      <c r="K240" s="8" t="s">
        <v>160</v>
      </c>
      <c r="L240" s="8"/>
      <c r="M240" s="8" t="s">
        <v>86</v>
      </c>
      <c r="N240" s="8"/>
      <c r="O240" s="8" t="s">
        <v>124</v>
      </c>
      <c r="P240" s="8" t="s">
        <v>183</v>
      </c>
      <c r="Q240" s="8" t="s">
        <v>215</v>
      </c>
      <c r="R240" s="8" t="s">
        <v>160</v>
      </c>
      <c r="S240" s="8" t="s">
        <v>160</v>
      </c>
      <c r="T240" s="8" t="s">
        <v>1222</v>
      </c>
    </row>
    <row r="241" customFormat="false" ht="15" hidden="false" customHeight="false" outlineLevel="0" collapsed="false">
      <c r="A241" s="8" t="s">
        <v>1223</v>
      </c>
      <c r="B241" s="8" t="s">
        <v>531</v>
      </c>
      <c r="C241" s="8" t="s">
        <v>77</v>
      </c>
      <c r="D241" s="8" t="s">
        <v>1145</v>
      </c>
      <c r="E241" s="9" t="n">
        <f aca="false">IF(C241="inhibition",-1,1)</f>
        <v>1</v>
      </c>
      <c r="F241" s="8" t="s">
        <v>1219</v>
      </c>
      <c r="G241" s="10" t="s">
        <v>1220</v>
      </c>
      <c r="H241" s="8" t="s">
        <v>1221</v>
      </c>
      <c r="I241" s="8" t="s">
        <v>158</v>
      </c>
      <c r="J241" s="8" t="s">
        <v>159</v>
      </c>
      <c r="K241" s="8" t="s">
        <v>160</v>
      </c>
      <c r="L241" s="8"/>
      <c r="M241" s="8" t="s">
        <v>86</v>
      </c>
      <c r="N241" s="8"/>
      <c r="O241" s="8" t="s">
        <v>124</v>
      </c>
      <c r="P241" s="8" t="s">
        <v>183</v>
      </c>
      <c r="Q241" s="8" t="s">
        <v>215</v>
      </c>
      <c r="R241" s="8" t="s">
        <v>160</v>
      </c>
      <c r="S241" s="8" t="s">
        <v>160</v>
      </c>
      <c r="T241" s="8" t="s">
        <v>1222</v>
      </c>
    </row>
    <row r="242" customFormat="false" ht="15" hidden="false" customHeight="false" outlineLevel="0" collapsed="false">
      <c r="A242" s="8" t="s">
        <v>1224</v>
      </c>
      <c r="B242" s="8" t="s">
        <v>134</v>
      </c>
      <c r="C242" s="8" t="s">
        <v>77</v>
      </c>
      <c r="D242" s="8" t="s">
        <v>1145</v>
      </c>
      <c r="E242" s="9" t="n">
        <f aca="false">IF(C242="inhibition",-1,1)</f>
        <v>1</v>
      </c>
      <c r="F242" s="8" t="s">
        <v>1225</v>
      </c>
      <c r="G242" s="10" t="s">
        <v>1226</v>
      </c>
      <c r="H242" s="8" t="s">
        <v>1227</v>
      </c>
      <c r="I242" s="8" t="s">
        <v>158</v>
      </c>
      <c r="J242" s="8" t="s">
        <v>159</v>
      </c>
      <c r="K242" s="8" t="s">
        <v>160</v>
      </c>
      <c r="L242" s="8"/>
      <c r="M242" s="8" t="s">
        <v>86</v>
      </c>
      <c r="N242" s="8"/>
      <c r="O242" s="8" t="s">
        <v>124</v>
      </c>
      <c r="P242" s="8" t="s">
        <v>183</v>
      </c>
      <c r="Q242" s="8" t="s">
        <v>160</v>
      </c>
      <c r="R242" s="8" t="s">
        <v>160</v>
      </c>
      <c r="S242" s="8" t="s">
        <v>160</v>
      </c>
      <c r="T242" s="8" t="s">
        <v>1228</v>
      </c>
    </row>
    <row r="243" customFormat="false" ht="15" hidden="false" customHeight="false" outlineLevel="0" collapsed="false">
      <c r="A243" s="8" t="s">
        <v>1229</v>
      </c>
      <c r="B243" s="8" t="s">
        <v>163</v>
      </c>
      <c r="C243" s="8" t="s">
        <v>77</v>
      </c>
      <c r="D243" s="8" t="s">
        <v>556</v>
      </c>
      <c r="E243" s="9" t="n">
        <f aca="false">IF(C243="inhibition",-1,1)</f>
        <v>1</v>
      </c>
      <c r="F243" s="8" t="s">
        <v>1230</v>
      </c>
      <c r="G243" s="10" t="s">
        <v>1231</v>
      </c>
      <c r="H243" s="8" t="s">
        <v>1232</v>
      </c>
      <c r="I243" s="8" t="s">
        <v>158</v>
      </c>
      <c r="J243" s="8" t="s">
        <v>159</v>
      </c>
      <c r="K243" s="8" t="s">
        <v>160</v>
      </c>
      <c r="L243" s="8"/>
      <c r="M243" s="8" t="s">
        <v>86</v>
      </c>
      <c r="N243" s="8"/>
      <c r="O243" s="8" t="s">
        <v>151</v>
      </c>
      <c r="P243" s="8" t="s">
        <v>183</v>
      </c>
      <c r="Q243" s="8" t="s">
        <v>160</v>
      </c>
      <c r="R243" s="8" t="s">
        <v>160</v>
      </c>
      <c r="S243" s="8" t="s">
        <v>160</v>
      </c>
      <c r="T243" s="8" t="s">
        <v>1233</v>
      </c>
    </row>
    <row r="244" customFormat="false" ht="15" hidden="false" customHeight="false" outlineLevel="0" collapsed="false">
      <c r="A244" s="8" t="s">
        <v>1234</v>
      </c>
      <c r="B244" s="8" t="s">
        <v>174</v>
      </c>
      <c r="C244" s="8" t="s">
        <v>77</v>
      </c>
      <c r="D244" s="8" t="s">
        <v>891</v>
      </c>
      <c r="E244" s="9" t="n">
        <f aca="false">IF(C244="inhibition",-1,1)</f>
        <v>1</v>
      </c>
      <c r="F244" s="8" t="s">
        <v>1230</v>
      </c>
      <c r="G244" s="10" t="s">
        <v>1231</v>
      </c>
      <c r="H244" s="8" t="s">
        <v>1232</v>
      </c>
      <c r="I244" s="8" t="s">
        <v>158</v>
      </c>
      <c r="J244" s="8" t="s">
        <v>159</v>
      </c>
      <c r="K244" s="8" t="s">
        <v>160</v>
      </c>
      <c r="L244" s="8"/>
      <c r="M244" s="8" t="s">
        <v>86</v>
      </c>
      <c r="N244" s="8"/>
      <c r="O244" s="8" t="s">
        <v>151</v>
      </c>
      <c r="P244" s="8" t="s">
        <v>183</v>
      </c>
      <c r="Q244" s="8" t="s">
        <v>160</v>
      </c>
      <c r="R244" s="8" t="s">
        <v>160</v>
      </c>
      <c r="S244" s="8" t="s">
        <v>160</v>
      </c>
      <c r="T244" s="8" t="s">
        <v>1233</v>
      </c>
    </row>
    <row r="245" customFormat="false" ht="15" hidden="false" customHeight="false" outlineLevel="0" collapsed="false">
      <c r="A245" s="8" t="s">
        <v>1235</v>
      </c>
      <c r="B245" s="8" t="s">
        <v>1206</v>
      </c>
      <c r="C245" s="8" t="s">
        <v>77</v>
      </c>
      <c r="D245" s="8" t="s">
        <v>1053</v>
      </c>
      <c r="E245" s="9" t="n">
        <f aca="false">IF(C245="inhibition",-1,1)</f>
        <v>1</v>
      </c>
      <c r="F245" s="8" t="s">
        <v>1236</v>
      </c>
      <c r="G245" s="10" t="s">
        <v>1237</v>
      </c>
      <c r="H245" s="8" t="s">
        <v>1238</v>
      </c>
      <c r="I245" s="8" t="s">
        <v>158</v>
      </c>
      <c r="J245" s="8" t="s">
        <v>159</v>
      </c>
      <c r="K245" s="8" t="s">
        <v>84</v>
      </c>
      <c r="L245" s="8"/>
      <c r="M245" s="8" t="s">
        <v>86</v>
      </c>
      <c r="N245" s="8"/>
      <c r="O245" s="8" t="s">
        <v>183</v>
      </c>
      <c r="P245" s="8" t="s">
        <v>151</v>
      </c>
      <c r="Q245" s="8" t="s">
        <v>1149</v>
      </c>
      <c r="R245" s="8" t="s">
        <v>1239</v>
      </c>
      <c r="S245" s="8" t="s">
        <v>99</v>
      </c>
      <c r="T245" s="8" t="s">
        <v>1240</v>
      </c>
    </row>
    <row r="246" customFormat="false" ht="15" hidden="false" customHeight="false" outlineLevel="0" collapsed="false">
      <c r="A246" s="8" t="s">
        <v>1241</v>
      </c>
      <c r="B246" s="8" t="s">
        <v>1195</v>
      </c>
      <c r="C246" s="8" t="s">
        <v>77</v>
      </c>
      <c r="D246" s="8" t="s">
        <v>1053</v>
      </c>
      <c r="E246" s="9" t="n">
        <f aca="false">IF(C246="inhibition",-1,1)</f>
        <v>1</v>
      </c>
      <c r="F246" s="8" t="s">
        <v>1236</v>
      </c>
      <c r="G246" s="10" t="s">
        <v>1237</v>
      </c>
      <c r="H246" s="8" t="s">
        <v>1238</v>
      </c>
      <c r="I246" s="8" t="s">
        <v>158</v>
      </c>
      <c r="J246" s="8" t="s">
        <v>159</v>
      </c>
      <c r="K246" s="8" t="s">
        <v>84</v>
      </c>
      <c r="L246" s="8"/>
      <c r="M246" s="8" t="s">
        <v>86</v>
      </c>
      <c r="N246" s="8"/>
      <c r="O246" s="8" t="s">
        <v>183</v>
      </c>
      <c r="P246" s="8" t="s">
        <v>151</v>
      </c>
      <c r="Q246" s="8" t="s">
        <v>1149</v>
      </c>
      <c r="R246" s="8" t="s">
        <v>1239</v>
      </c>
      <c r="S246" s="8" t="s">
        <v>99</v>
      </c>
      <c r="T246" s="8" t="s">
        <v>1240</v>
      </c>
    </row>
    <row r="247" customFormat="false" ht="15" hidden="false" customHeight="false" outlineLevel="0" collapsed="false">
      <c r="A247" s="8" t="s">
        <v>1242</v>
      </c>
      <c r="B247" s="8" t="s">
        <v>1128</v>
      </c>
      <c r="C247" s="8" t="s">
        <v>77</v>
      </c>
      <c r="D247" s="8" t="s">
        <v>1053</v>
      </c>
      <c r="E247" s="9" t="n">
        <f aca="false">IF(C247="inhibition",-1,1)</f>
        <v>1</v>
      </c>
      <c r="F247" s="8" t="s">
        <v>1243</v>
      </c>
      <c r="G247" s="10" t="s">
        <v>1244</v>
      </c>
      <c r="H247" s="8" t="s">
        <v>1245</v>
      </c>
      <c r="I247" s="8" t="s">
        <v>158</v>
      </c>
      <c r="J247" s="8" t="s">
        <v>159</v>
      </c>
      <c r="K247" s="8" t="s">
        <v>84</v>
      </c>
      <c r="L247" s="8" t="s">
        <v>1246</v>
      </c>
      <c r="M247" s="8" t="s">
        <v>86</v>
      </c>
      <c r="N247" s="8"/>
      <c r="O247" s="8" t="s">
        <v>443</v>
      </c>
      <c r="P247" s="8" t="s">
        <v>151</v>
      </c>
      <c r="Q247" s="8" t="s">
        <v>200</v>
      </c>
      <c r="R247" s="8" t="s">
        <v>1247</v>
      </c>
      <c r="S247" s="8" t="s">
        <v>84</v>
      </c>
      <c r="T247" s="8" t="s">
        <v>1248</v>
      </c>
    </row>
    <row r="248" customFormat="false" ht="15" hidden="false" customHeight="false" outlineLevel="0" collapsed="false">
      <c r="A248" s="8" t="s">
        <v>1249</v>
      </c>
      <c r="B248" s="8" t="s">
        <v>1134</v>
      </c>
      <c r="C248" s="8" t="s">
        <v>77</v>
      </c>
      <c r="D248" s="8" t="s">
        <v>1053</v>
      </c>
      <c r="E248" s="9" t="n">
        <f aca="false">IF(C248="inhibition",-1,1)</f>
        <v>1</v>
      </c>
      <c r="F248" s="8" t="s">
        <v>1243</v>
      </c>
      <c r="G248" s="10" t="s">
        <v>1244</v>
      </c>
      <c r="H248" s="8" t="s">
        <v>1245</v>
      </c>
      <c r="I248" s="8" t="s">
        <v>158</v>
      </c>
      <c r="J248" s="8" t="s">
        <v>159</v>
      </c>
      <c r="K248" s="8" t="s">
        <v>84</v>
      </c>
      <c r="L248" s="8" t="s">
        <v>1250</v>
      </c>
      <c r="M248" s="8" t="s">
        <v>86</v>
      </c>
      <c r="N248" s="8"/>
      <c r="O248" s="8" t="s">
        <v>443</v>
      </c>
      <c r="P248" s="8" t="s">
        <v>151</v>
      </c>
      <c r="Q248" s="8" t="s">
        <v>200</v>
      </c>
      <c r="R248" s="8" t="s">
        <v>1247</v>
      </c>
      <c r="S248" s="8" t="s">
        <v>84</v>
      </c>
      <c r="T248" s="8" t="s">
        <v>1248</v>
      </c>
    </row>
    <row r="249" customFormat="false" ht="15" hidden="false" customHeight="false" outlineLevel="0" collapsed="false">
      <c r="A249" s="8" t="s">
        <v>1251</v>
      </c>
      <c r="B249" s="8" t="s">
        <v>93</v>
      </c>
      <c r="C249" s="8" t="s">
        <v>144</v>
      </c>
      <c r="D249" s="8" t="s">
        <v>1053</v>
      </c>
      <c r="E249" s="9" t="n">
        <f aca="false">IF(C249="inhibition",-1,1)</f>
        <v>-1</v>
      </c>
      <c r="F249" s="8" t="s">
        <v>1252</v>
      </c>
      <c r="G249" s="10" t="s">
        <v>1253</v>
      </c>
      <c r="H249" s="8" t="s">
        <v>1254</v>
      </c>
      <c r="I249" s="8" t="s">
        <v>158</v>
      </c>
      <c r="J249" s="8" t="s">
        <v>106</v>
      </c>
      <c r="K249" s="8" t="s">
        <v>276</v>
      </c>
      <c r="L249" s="8"/>
      <c r="M249" s="8" t="s">
        <v>86</v>
      </c>
      <c r="N249" s="8"/>
      <c r="O249" s="8" t="s">
        <v>87</v>
      </c>
      <c r="P249" s="8" t="s">
        <v>151</v>
      </c>
      <c r="Q249" s="8" t="s">
        <v>215</v>
      </c>
      <c r="R249" s="8" t="s">
        <v>430</v>
      </c>
      <c r="S249" s="8" t="s">
        <v>276</v>
      </c>
      <c r="T249" s="8" t="s">
        <v>1255</v>
      </c>
    </row>
    <row r="250" customFormat="false" ht="15" hidden="false" customHeight="false" outlineLevel="0" collapsed="false">
      <c r="A250" s="8" t="s">
        <v>1256</v>
      </c>
      <c r="B250" s="8" t="s">
        <v>170</v>
      </c>
      <c r="C250" s="8" t="s">
        <v>77</v>
      </c>
      <c r="D250" s="8" t="s">
        <v>93</v>
      </c>
      <c r="E250" s="9" t="n">
        <f aca="false">IF(C250="inhibition",-1,1)</f>
        <v>1</v>
      </c>
      <c r="F250" s="8" t="s">
        <v>1257</v>
      </c>
      <c r="G250" s="10" t="s">
        <v>1258</v>
      </c>
      <c r="H250" s="8" t="s">
        <v>1259</v>
      </c>
      <c r="I250" s="8" t="s">
        <v>82</v>
      </c>
      <c r="J250" s="8" t="s">
        <v>83</v>
      </c>
      <c r="K250" s="8" t="s">
        <v>84</v>
      </c>
      <c r="L250" s="8"/>
      <c r="M250" s="8" t="s">
        <v>86</v>
      </c>
      <c r="N250" s="8"/>
      <c r="O250" s="8" t="s">
        <v>151</v>
      </c>
      <c r="P250" s="8" t="s">
        <v>87</v>
      </c>
      <c r="Q250" s="8" t="s">
        <v>97</v>
      </c>
      <c r="R250" s="8" t="s">
        <v>117</v>
      </c>
      <c r="S250" s="8" t="s">
        <v>99</v>
      </c>
      <c r="T250" s="8" t="s">
        <v>1260</v>
      </c>
    </row>
    <row r="251" customFormat="false" ht="15" hidden="false" customHeight="false" outlineLevel="0" collapsed="false">
      <c r="A251" s="8" t="s">
        <v>1261</v>
      </c>
      <c r="B251" s="8" t="s">
        <v>178</v>
      </c>
      <c r="C251" s="8" t="s">
        <v>77</v>
      </c>
      <c r="D251" s="8" t="s">
        <v>93</v>
      </c>
      <c r="E251" s="9" t="n">
        <f aca="false">IF(C251="inhibition",-1,1)</f>
        <v>1</v>
      </c>
      <c r="F251" s="8" t="s">
        <v>671</v>
      </c>
      <c r="G251" s="10" t="s">
        <v>672</v>
      </c>
      <c r="H251" s="8" t="s">
        <v>673</v>
      </c>
      <c r="I251" s="8" t="s">
        <v>138</v>
      </c>
      <c r="J251" s="8" t="s">
        <v>106</v>
      </c>
      <c r="K251" s="8" t="s">
        <v>84</v>
      </c>
      <c r="L251" s="8"/>
      <c r="M251" s="8" t="s">
        <v>86</v>
      </c>
      <c r="N251" s="8"/>
      <c r="O251" s="8" t="s">
        <v>151</v>
      </c>
      <c r="P251" s="8" t="s">
        <v>87</v>
      </c>
      <c r="Q251" s="8" t="s">
        <v>190</v>
      </c>
      <c r="R251" s="8" t="s">
        <v>191</v>
      </c>
      <c r="S251" s="8" t="s">
        <v>99</v>
      </c>
      <c r="T251" s="8" t="s">
        <v>674</v>
      </c>
    </row>
    <row r="252" customFormat="false" ht="15" hidden="false" customHeight="false" outlineLevel="0" collapsed="false">
      <c r="A252" s="8" t="s">
        <v>1262</v>
      </c>
      <c r="B252" s="8" t="s">
        <v>335</v>
      </c>
      <c r="C252" s="8" t="s">
        <v>77</v>
      </c>
      <c r="D252" s="8" t="s">
        <v>93</v>
      </c>
      <c r="E252" s="9" t="n">
        <f aca="false">IF(C252="inhibition",-1,1)</f>
        <v>1</v>
      </c>
      <c r="F252" s="8" t="s">
        <v>1263</v>
      </c>
      <c r="G252" s="10" t="s">
        <v>1264</v>
      </c>
      <c r="H252" s="8" t="s">
        <v>1265</v>
      </c>
      <c r="I252" s="8" t="s">
        <v>158</v>
      </c>
      <c r="J252" s="8" t="s">
        <v>159</v>
      </c>
      <c r="K252" s="8" t="s">
        <v>160</v>
      </c>
      <c r="L252" s="8"/>
      <c r="M252" s="8" t="s">
        <v>86</v>
      </c>
      <c r="N252" s="8"/>
      <c r="O252" s="8" t="s">
        <v>87</v>
      </c>
      <c r="P252" s="8" t="s">
        <v>87</v>
      </c>
      <c r="Q252" s="8" t="s">
        <v>160</v>
      </c>
      <c r="R252" s="8" t="s">
        <v>160</v>
      </c>
      <c r="S252" s="8" t="s">
        <v>160</v>
      </c>
      <c r="T252" s="8" t="s">
        <v>1266</v>
      </c>
    </row>
    <row r="253" customFormat="false" ht="15" hidden="false" customHeight="false" outlineLevel="0" collapsed="false">
      <c r="A253" s="8" t="s">
        <v>1267</v>
      </c>
      <c r="B253" s="8" t="s">
        <v>219</v>
      </c>
      <c r="C253" s="8" t="s">
        <v>144</v>
      </c>
      <c r="D253" s="8" t="s">
        <v>93</v>
      </c>
      <c r="E253" s="9" t="n">
        <f aca="false">IF(C253="inhibition",-1,1)</f>
        <v>-1</v>
      </c>
      <c r="F253" s="8" t="s">
        <v>1268</v>
      </c>
      <c r="G253" s="8"/>
      <c r="H253" s="8"/>
      <c r="I253" s="8" t="s">
        <v>138</v>
      </c>
      <c r="J253" s="8" t="s">
        <v>159</v>
      </c>
      <c r="K253" s="8" t="s">
        <v>84</v>
      </c>
      <c r="L253" s="8"/>
      <c r="M253" s="8" t="s">
        <v>213</v>
      </c>
      <c r="N253" s="8"/>
      <c r="O253" s="8" t="s">
        <v>87</v>
      </c>
      <c r="P253" s="8" t="s">
        <v>87</v>
      </c>
      <c r="Q253" s="8" t="s">
        <v>190</v>
      </c>
      <c r="R253" s="8" t="s">
        <v>473</v>
      </c>
      <c r="S253" s="8" t="s">
        <v>99</v>
      </c>
      <c r="T253" s="8" t="s">
        <v>1269</v>
      </c>
    </row>
    <row r="254" customFormat="false" ht="15" hidden="false" customHeight="false" outlineLevel="0" collapsed="false">
      <c r="A254" s="8" t="s">
        <v>1270</v>
      </c>
      <c r="B254" s="8" t="s">
        <v>128</v>
      </c>
      <c r="C254" s="8" t="s">
        <v>144</v>
      </c>
      <c r="D254" s="8" t="s">
        <v>93</v>
      </c>
      <c r="E254" s="9" t="n">
        <f aca="false">IF(C254="inhibition",-1,1)</f>
        <v>-1</v>
      </c>
      <c r="F254" s="8" t="s">
        <v>1271</v>
      </c>
      <c r="G254" s="10" t="s">
        <v>1272</v>
      </c>
      <c r="H254" s="8"/>
      <c r="I254" s="8" t="s">
        <v>138</v>
      </c>
      <c r="J254" s="8" t="s">
        <v>83</v>
      </c>
      <c r="K254" s="8" t="s">
        <v>84</v>
      </c>
      <c r="L254" s="8"/>
      <c r="M254" s="8" t="s">
        <v>86</v>
      </c>
      <c r="N254" s="8"/>
      <c r="O254" s="8" t="s">
        <v>87</v>
      </c>
      <c r="P254" s="8" t="s">
        <v>87</v>
      </c>
      <c r="Q254" s="8" t="s">
        <v>190</v>
      </c>
      <c r="R254" s="8" t="s">
        <v>83</v>
      </c>
      <c r="S254" s="8" t="s">
        <v>108</v>
      </c>
      <c r="T254" s="8" t="s">
        <v>1273</v>
      </c>
    </row>
    <row r="255" customFormat="false" ht="15" hidden="false" customHeight="false" outlineLevel="0" collapsed="false">
      <c r="A255" s="8" t="s">
        <v>1274</v>
      </c>
      <c r="B255" s="8" t="s">
        <v>395</v>
      </c>
      <c r="C255" s="8" t="s">
        <v>77</v>
      </c>
      <c r="D255" s="8" t="s">
        <v>1185</v>
      </c>
      <c r="E255" s="9" t="n">
        <f aca="false">IF(C255="inhibition",-1,1)</f>
        <v>1</v>
      </c>
      <c r="F255" s="8" t="s">
        <v>1275</v>
      </c>
      <c r="G255" s="10" t="s">
        <v>1276</v>
      </c>
      <c r="H255" s="8" t="s">
        <v>1277</v>
      </c>
      <c r="I255" s="8" t="s">
        <v>158</v>
      </c>
      <c r="J255" s="8" t="s">
        <v>159</v>
      </c>
      <c r="K255" s="8" t="s">
        <v>160</v>
      </c>
      <c r="L255" s="8"/>
      <c r="M255" s="8" t="s">
        <v>86</v>
      </c>
      <c r="N255" s="8"/>
      <c r="O255" s="8" t="s">
        <v>87</v>
      </c>
      <c r="P255" s="8" t="s">
        <v>151</v>
      </c>
      <c r="Q255" s="8" t="s">
        <v>160</v>
      </c>
      <c r="R255" s="8" t="s">
        <v>160</v>
      </c>
      <c r="S255" s="8" t="s">
        <v>160</v>
      </c>
      <c r="T255" s="8" t="s">
        <v>1278</v>
      </c>
    </row>
    <row r="256" customFormat="false" ht="15" hidden="false" customHeight="false" outlineLevel="0" collapsed="false">
      <c r="A256" s="8" t="s">
        <v>1279</v>
      </c>
      <c r="B256" s="8" t="s">
        <v>93</v>
      </c>
      <c r="C256" s="8" t="s">
        <v>77</v>
      </c>
      <c r="D256" s="8" t="s">
        <v>1185</v>
      </c>
      <c r="E256" s="9" t="n">
        <f aca="false">IF(C256="inhibition",-1,1)</f>
        <v>1</v>
      </c>
      <c r="F256" s="8" t="s">
        <v>1280</v>
      </c>
      <c r="G256" s="10" t="s">
        <v>1281</v>
      </c>
      <c r="H256" s="8" t="s">
        <v>1282</v>
      </c>
      <c r="I256" s="8" t="s">
        <v>158</v>
      </c>
      <c r="J256" s="8" t="s">
        <v>83</v>
      </c>
      <c r="K256" s="8" t="s">
        <v>84</v>
      </c>
      <c r="L256" s="8" t="s">
        <v>1283</v>
      </c>
      <c r="M256" s="8" t="s">
        <v>86</v>
      </c>
      <c r="N256" s="8"/>
      <c r="O256" s="8" t="s">
        <v>87</v>
      </c>
      <c r="P256" s="8" t="s">
        <v>151</v>
      </c>
      <c r="Q256" s="8" t="s">
        <v>200</v>
      </c>
      <c r="R256" s="8" t="s">
        <v>1284</v>
      </c>
      <c r="S256" s="8" t="s">
        <v>84</v>
      </c>
      <c r="T256" s="8" t="s">
        <v>1285</v>
      </c>
    </row>
    <row r="257" customFormat="false" ht="15" hidden="false" customHeight="false" outlineLevel="0" collapsed="false">
      <c r="A257" s="8" t="s">
        <v>1286</v>
      </c>
      <c r="B257" s="8" t="s">
        <v>804</v>
      </c>
      <c r="C257" s="8" t="s">
        <v>77</v>
      </c>
      <c r="D257" s="8" t="s">
        <v>1185</v>
      </c>
      <c r="E257" s="9" t="n">
        <f aca="false">IF(C257="inhibition",-1,1)</f>
        <v>1</v>
      </c>
      <c r="F257" s="8" t="s">
        <v>1287</v>
      </c>
      <c r="G257" s="10" t="s">
        <v>1288</v>
      </c>
      <c r="H257" s="8" t="s">
        <v>1289</v>
      </c>
      <c r="I257" s="8" t="s">
        <v>158</v>
      </c>
      <c r="J257" s="8" t="s">
        <v>159</v>
      </c>
      <c r="K257" s="8" t="s">
        <v>160</v>
      </c>
      <c r="L257" s="8"/>
      <c r="M257" s="8" t="s">
        <v>86</v>
      </c>
      <c r="N257" s="8"/>
      <c r="O257" s="8" t="s">
        <v>151</v>
      </c>
      <c r="P257" s="8" t="s">
        <v>151</v>
      </c>
      <c r="Q257" s="8" t="s">
        <v>326</v>
      </c>
      <c r="R257" s="8" t="s">
        <v>160</v>
      </c>
      <c r="S257" s="8" t="s">
        <v>160</v>
      </c>
      <c r="T257" s="8" t="s">
        <v>1290</v>
      </c>
    </row>
    <row r="258" customFormat="false" ht="15" hidden="false" customHeight="false" outlineLevel="0" collapsed="false">
      <c r="A258" s="8" t="s">
        <v>1291</v>
      </c>
      <c r="B258" s="8" t="s">
        <v>438</v>
      </c>
      <c r="C258" s="8" t="s">
        <v>77</v>
      </c>
      <c r="D258" s="8" t="s">
        <v>1134</v>
      </c>
      <c r="E258" s="9" t="n">
        <f aca="false">IF(C258="inhibition",-1,1)</f>
        <v>1</v>
      </c>
      <c r="F258" s="8" t="s">
        <v>1292</v>
      </c>
      <c r="G258" s="10" t="s">
        <v>1293</v>
      </c>
      <c r="H258" s="8" t="s">
        <v>1294</v>
      </c>
      <c r="I258" s="8" t="s">
        <v>158</v>
      </c>
      <c r="J258" s="8" t="s">
        <v>159</v>
      </c>
      <c r="K258" s="8" t="s">
        <v>160</v>
      </c>
      <c r="L258" s="8"/>
      <c r="M258" s="8" t="s">
        <v>86</v>
      </c>
      <c r="N258" s="8"/>
      <c r="O258" s="8" t="s">
        <v>443</v>
      </c>
      <c r="P258" s="8" t="s">
        <v>443</v>
      </c>
      <c r="Q258" s="8" t="s">
        <v>160</v>
      </c>
      <c r="R258" s="8" t="s">
        <v>160</v>
      </c>
      <c r="S258" s="8" t="s">
        <v>160</v>
      </c>
      <c r="T258" s="8" t="s">
        <v>1295</v>
      </c>
    </row>
    <row r="259" customFormat="false" ht="15" hidden="false" customHeight="false" outlineLevel="0" collapsed="false">
      <c r="A259" s="8" t="s">
        <v>1296</v>
      </c>
      <c r="B259" s="8" t="s">
        <v>1209</v>
      </c>
      <c r="C259" s="8" t="s">
        <v>144</v>
      </c>
      <c r="D259" s="8" t="s">
        <v>1134</v>
      </c>
      <c r="E259" s="9" t="n">
        <f aca="false">IF(C259="inhibition",-1,1)</f>
        <v>-1</v>
      </c>
      <c r="F259" s="8" t="s">
        <v>1297</v>
      </c>
      <c r="G259" s="10" t="s">
        <v>1298</v>
      </c>
      <c r="H259" s="8" t="s">
        <v>1299</v>
      </c>
      <c r="I259" s="8" t="s">
        <v>158</v>
      </c>
      <c r="J259" s="8" t="s">
        <v>83</v>
      </c>
      <c r="K259" s="8" t="s">
        <v>84</v>
      </c>
      <c r="L259" s="8" t="s">
        <v>1300</v>
      </c>
      <c r="M259" s="8" t="s">
        <v>86</v>
      </c>
      <c r="N259" s="8"/>
      <c r="O259" s="8" t="s">
        <v>443</v>
      </c>
      <c r="P259" s="8" t="s">
        <v>443</v>
      </c>
      <c r="Q259" s="8" t="s">
        <v>200</v>
      </c>
      <c r="R259" s="8" t="s">
        <v>1301</v>
      </c>
      <c r="S259" s="8" t="s">
        <v>84</v>
      </c>
      <c r="T259" s="8" t="s">
        <v>1302</v>
      </c>
    </row>
    <row r="260" customFormat="false" ht="15" hidden="false" customHeight="false" outlineLevel="0" collapsed="false">
      <c r="A260" s="8" t="s">
        <v>1303</v>
      </c>
      <c r="B260" s="8" t="s">
        <v>602</v>
      </c>
      <c r="C260" s="8" t="s">
        <v>77</v>
      </c>
      <c r="D260" s="8" t="s">
        <v>1128</v>
      </c>
      <c r="E260" s="9" t="n">
        <f aca="false">IF(C260="inhibition",-1,1)</f>
        <v>1</v>
      </c>
      <c r="F260" s="8" t="s">
        <v>1292</v>
      </c>
      <c r="G260" s="10" t="s">
        <v>1293</v>
      </c>
      <c r="H260" s="8" t="s">
        <v>1294</v>
      </c>
      <c r="I260" s="8" t="s">
        <v>158</v>
      </c>
      <c r="J260" s="8" t="s">
        <v>159</v>
      </c>
      <c r="K260" s="8" t="s">
        <v>160</v>
      </c>
      <c r="L260" s="8"/>
      <c r="M260" s="8" t="s">
        <v>86</v>
      </c>
      <c r="N260" s="8"/>
      <c r="O260" s="8" t="s">
        <v>443</v>
      </c>
      <c r="P260" s="8" t="s">
        <v>443</v>
      </c>
      <c r="Q260" s="8" t="s">
        <v>160</v>
      </c>
      <c r="R260" s="8" t="s">
        <v>160</v>
      </c>
      <c r="S260" s="8" t="s">
        <v>160</v>
      </c>
      <c r="T260" s="8" t="s">
        <v>1295</v>
      </c>
    </row>
    <row r="261" customFormat="false" ht="15" hidden="false" customHeight="false" outlineLevel="0" collapsed="false">
      <c r="A261" s="8" t="s">
        <v>1304</v>
      </c>
      <c r="B261" s="8" t="s">
        <v>1305</v>
      </c>
      <c r="C261" s="8" t="s">
        <v>144</v>
      </c>
      <c r="D261" s="8" t="s">
        <v>1128</v>
      </c>
      <c r="E261" s="9" t="n">
        <f aca="false">IF(C261="inhibition",-1,1)</f>
        <v>-1</v>
      </c>
      <c r="F261" s="8" t="s">
        <v>1297</v>
      </c>
      <c r="G261" s="10" t="s">
        <v>1298</v>
      </c>
      <c r="H261" s="8" t="s">
        <v>1299</v>
      </c>
      <c r="I261" s="8" t="s">
        <v>158</v>
      </c>
      <c r="J261" s="8" t="s">
        <v>83</v>
      </c>
      <c r="K261" s="8" t="s">
        <v>84</v>
      </c>
      <c r="L261" s="8" t="s">
        <v>1306</v>
      </c>
      <c r="M261" s="8" t="s">
        <v>86</v>
      </c>
      <c r="N261" s="8"/>
      <c r="O261" s="8" t="s">
        <v>443</v>
      </c>
      <c r="P261" s="8" t="s">
        <v>443</v>
      </c>
      <c r="Q261" s="8" t="s">
        <v>200</v>
      </c>
      <c r="R261" s="8" t="s">
        <v>1301</v>
      </c>
      <c r="S261" s="8" t="s">
        <v>84</v>
      </c>
      <c r="T261" s="8" t="s">
        <v>1307</v>
      </c>
    </row>
    <row r="262" customFormat="false" ht="15" hidden="false" customHeight="false" outlineLevel="0" collapsed="false">
      <c r="A262" s="8" t="s">
        <v>1308</v>
      </c>
      <c r="B262" s="8" t="s">
        <v>1309</v>
      </c>
      <c r="C262" s="8" t="s">
        <v>77</v>
      </c>
      <c r="D262" s="8" t="s">
        <v>969</v>
      </c>
      <c r="E262" s="9" t="n">
        <f aca="false">IF(C262="inhibition",-1,1)</f>
        <v>1</v>
      </c>
      <c r="F262" s="8" t="s">
        <v>970</v>
      </c>
      <c r="G262" s="10" t="s">
        <v>971</v>
      </c>
      <c r="H262" s="8" t="s">
        <v>972</v>
      </c>
      <c r="I262" s="8" t="s">
        <v>158</v>
      </c>
      <c r="J262" s="8" t="s">
        <v>159</v>
      </c>
      <c r="K262" s="8" t="s">
        <v>160</v>
      </c>
      <c r="L262" s="8"/>
      <c r="M262" s="8" t="s">
        <v>86</v>
      </c>
      <c r="N262" s="8"/>
      <c r="O262" s="8" t="s">
        <v>124</v>
      </c>
      <c r="P262" s="8" t="s">
        <v>124</v>
      </c>
      <c r="Q262" s="8" t="s">
        <v>973</v>
      </c>
      <c r="R262" s="8" t="s">
        <v>160</v>
      </c>
      <c r="S262" s="8" t="s">
        <v>160</v>
      </c>
      <c r="T262" s="8" t="s">
        <v>974</v>
      </c>
    </row>
    <row r="263" customFormat="false" ht="15" hidden="false" customHeight="false" outlineLevel="0" collapsed="false">
      <c r="A263" s="8" t="s">
        <v>1310</v>
      </c>
      <c r="B263" s="8" t="s">
        <v>1311</v>
      </c>
      <c r="C263" s="8" t="s">
        <v>77</v>
      </c>
      <c r="D263" s="8" t="s">
        <v>976</v>
      </c>
      <c r="E263" s="9" t="n">
        <f aca="false">IF(C263="inhibition",-1,1)</f>
        <v>1</v>
      </c>
      <c r="F263" s="8" t="s">
        <v>970</v>
      </c>
      <c r="G263" s="10" t="s">
        <v>971</v>
      </c>
      <c r="H263" s="8" t="s">
        <v>972</v>
      </c>
      <c r="I263" s="8" t="s">
        <v>158</v>
      </c>
      <c r="J263" s="8" t="s">
        <v>159</v>
      </c>
      <c r="K263" s="8" t="s">
        <v>160</v>
      </c>
      <c r="L263" s="8"/>
      <c r="M263" s="8" t="s">
        <v>86</v>
      </c>
      <c r="N263" s="8"/>
      <c r="O263" s="8" t="s">
        <v>124</v>
      </c>
      <c r="P263" s="8" t="s">
        <v>124</v>
      </c>
      <c r="Q263" s="8" t="s">
        <v>973</v>
      </c>
      <c r="R263" s="8" t="s">
        <v>160</v>
      </c>
      <c r="S263" s="8" t="s">
        <v>160</v>
      </c>
      <c r="T263" s="8" t="s">
        <v>974</v>
      </c>
    </row>
    <row r="264" customFormat="false" ht="15" hidden="false" customHeight="false" outlineLevel="0" collapsed="false">
      <c r="A264" s="8" t="s">
        <v>1312</v>
      </c>
      <c r="B264" s="8" t="s">
        <v>602</v>
      </c>
      <c r="C264" s="8" t="s">
        <v>77</v>
      </c>
      <c r="D264" s="8" t="s">
        <v>1309</v>
      </c>
      <c r="E264" s="9" t="n">
        <f aca="false">IF(C264="inhibition",-1,1)</f>
        <v>1</v>
      </c>
      <c r="F264" s="8" t="s">
        <v>1313</v>
      </c>
      <c r="G264" s="10" t="s">
        <v>1314</v>
      </c>
      <c r="H264" s="8"/>
      <c r="I264" s="8" t="s">
        <v>158</v>
      </c>
      <c r="J264" s="8" t="s">
        <v>159</v>
      </c>
      <c r="K264" s="8" t="s">
        <v>160</v>
      </c>
      <c r="L264" s="8"/>
      <c r="M264" s="8" t="s">
        <v>86</v>
      </c>
      <c r="N264" s="8"/>
      <c r="O264" s="8" t="s">
        <v>443</v>
      </c>
      <c r="P264" s="8" t="s">
        <v>124</v>
      </c>
      <c r="Q264" s="8" t="s">
        <v>160</v>
      </c>
      <c r="R264" s="8" t="s">
        <v>160</v>
      </c>
      <c r="S264" s="8" t="s">
        <v>160</v>
      </c>
      <c r="T264" s="8" t="s">
        <v>1315</v>
      </c>
    </row>
    <row r="265" customFormat="false" ht="15" hidden="false" customHeight="false" outlineLevel="0" collapsed="false">
      <c r="A265" s="8" t="s">
        <v>1316</v>
      </c>
      <c r="B265" s="8" t="s">
        <v>438</v>
      </c>
      <c r="C265" s="8" t="s">
        <v>77</v>
      </c>
      <c r="D265" s="8" t="s">
        <v>1311</v>
      </c>
      <c r="E265" s="9" t="n">
        <f aca="false">IF(C265="inhibition",-1,1)</f>
        <v>1</v>
      </c>
      <c r="F265" s="8" t="s">
        <v>1313</v>
      </c>
      <c r="G265" s="10" t="s">
        <v>1314</v>
      </c>
      <c r="H265" s="8"/>
      <c r="I265" s="8" t="s">
        <v>158</v>
      </c>
      <c r="J265" s="8" t="s">
        <v>159</v>
      </c>
      <c r="K265" s="8" t="s">
        <v>160</v>
      </c>
      <c r="L265" s="8"/>
      <c r="M265" s="8" t="s">
        <v>86</v>
      </c>
      <c r="N265" s="8"/>
      <c r="O265" s="8" t="s">
        <v>443</v>
      </c>
      <c r="P265" s="8" t="s">
        <v>124</v>
      </c>
      <c r="Q265" s="8" t="s">
        <v>160</v>
      </c>
      <c r="R265" s="8" t="s">
        <v>160</v>
      </c>
      <c r="S265" s="8" t="s">
        <v>160</v>
      </c>
      <c r="T265" s="8" t="s">
        <v>1315</v>
      </c>
    </row>
    <row r="266" customFormat="false" ht="15" hidden="false" customHeight="false" outlineLevel="0" collapsed="false">
      <c r="A266" s="8" t="s">
        <v>1317</v>
      </c>
      <c r="B266" s="8" t="s">
        <v>147</v>
      </c>
      <c r="C266" s="8" t="s">
        <v>77</v>
      </c>
      <c r="D266" s="8" t="s">
        <v>1059</v>
      </c>
      <c r="E266" s="9" t="n">
        <f aca="false">IF(C266="inhibition",-1,1)</f>
        <v>1</v>
      </c>
      <c r="F266" s="8" t="s">
        <v>1318</v>
      </c>
      <c r="G266" s="8"/>
      <c r="H266" s="8"/>
      <c r="I266" s="8" t="s">
        <v>138</v>
      </c>
      <c r="J266" s="8" t="s">
        <v>83</v>
      </c>
      <c r="K266" s="8" t="s">
        <v>84</v>
      </c>
      <c r="L266" s="8"/>
      <c r="M266" s="8" t="s">
        <v>213</v>
      </c>
      <c r="N266" s="8"/>
      <c r="O266" s="8" t="s">
        <v>151</v>
      </c>
      <c r="P266" s="8" t="s">
        <v>151</v>
      </c>
      <c r="Q266" s="8" t="s">
        <v>190</v>
      </c>
      <c r="R266" s="8" t="s">
        <v>117</v>
      </c>
      <c r="S266" s="8" t="s">
        <v>99</v>
      </c>
      <c r="T266" s="8" t="s">
        <v>1319</v>
      </c>
    </row>
    <row r="267" customFormat="false" ht="15" hidden="false" customHeight="false" outlineLevel="0" collapsed="false">
      <c r="A267" s="8" t="s">
        <v>1320</v>
      </c>
      <c r="B267" s="8" t="s">
        <v>170</v>
      </c>
      <c r="C267" s="8" t="s">
        <v>77</v>
      </c>
      <c r="D267" s="8" t="s">
        <v>1059</v>
      </c>
      <c r="E267" s="9" t="n">
        <f aca="false">IF(C267="inhibition",-1,1)</f>
        <v>1</v>
      </c>
      <c r="F267" s="8" t="s">
        <v>1318</v>
      </c>
      <c r="G267" s="8"/>
      <c r="H267" s="8"/>
      <c r="I267" s="8" t="s">
        <v>138</v>
      </c>
      <c r="J267" s="8" t="s">
        <v>83</v>
      </c>
      <c r="K267" s="8" t="s">
        <v>84</v>
      </c>
      <c r="L267" s="8"/>
      <c r="M267" s="8" t="s">
        <v>213</v>
      </c>
      <c r="N267" s="8"/>
      <c r="O267" s="8" t="s">
        <v>151</v>
      </c>
      <c r="P267" s="8" t="s">
        <v>151</v>
      </c>
      <c r="Q267" s="8" t="s">
        <v>190</v>
      </c>
      <c r="R267" s="8" t="s">
        <v>117</v>
      </c>
      <c r="S267" s="8" t="s">
        <v>99</v>
      </c>
      <c r="T267" s="8" t="s">
        <v>1319</v>
      </c>
    </row>
    <row r="268" customFormat="false" ht="15" hidden="false" customHeight="false" outlineLevel="0" collapsed="false">
      <c r="A268" s="8" t="s">
        <v>1321</v>
      </c>
      <c r="B268" s="8" t="s">
        <v>531</v>
      </c>
      <c r="C268" s="8" t="s">
        <v>77</v>
      </c>
      <c r="D268" s="8" t="s">
        <v>1059</v>
      </c>
      <c r="E268" s="9" t="n">
        <f aca="false">IF(C268="inhibition",-1,1)</f>
        <v>1</v>
      </c>
      <c r="F268" s="8" t="s">
        <v>1047</v>
      </c>
      <c r="G268" s="10" t="s">
        <v>1048</v>
      </c>
      <c r="H268" s="8" t="s">
        <v>1049</v>
      </c>
      <c r="I268" s="8" t="s">
        <v>158</v>
      </c>
      <c r="J268" s="8" t="s">
        <v>159</v>
      </c>
      <c r="K268" s="8" t="s">
        <v>160</v>
      </c>
      <c r="L268" s="8"/>
      <c r="M268" s="8" t="s">
        <v>86</v>
      </c>
      <c r="N268" s="8"/>
      <c r="O268" s="8" t="s">
        <v>124</v>
      </c>
      <c r="P268" s="8" t="s">
        <v>151</v>
      </c>
      <c r="Q268" s="8" t="s">
        <v>160</v>
      </c>
      <c r="R268" s="8" t="s">
        <v>160</v>
      </c>
      <c r="S268" s="8" t="s">
        <v>160</v>
      </c>
      <c r="T268" s="8" t="s">
        <v>1050</v>
      </c>
    </row>
    <row r="269" customFormat="false" ht="15" hidden="false" customHeight="false" outlineLevel="0" collapsed="false">
      <c r="A269" s="8" t="s">
        <v>1322</v>
      </c>
      <c r="B269" s="8" t="s">
        <v>178</v>
      </c>
      <c r="C269" s="8" t="s">
        <v>144</v>
      </c>
      <c r="D269" s="8" t="s">
        <v>1059</v>
      </c>
      <c r="E269" s="9" t="n">
        <f aca="false">IF(C269="inhibition",-1,1)</f>
        <v>-1</v>
      </c>
      <c r="F269" s="8" t="s">
        <v>1323</v>
      </c>
      <c r="G269" s="8"/>
      <c r="H269" s="8"/>
      <c r="I269" s="8" t="s">
        <v>138</v>
      </c>
      <c r="J269" s="8" t="s">
        <v>106</v>
      </c>
      <c r="K269" s="8" t="s">
        <v>84</v>
      </c>
      <c r="L269" s="8"/>
      <c r="M269" s="8" t="s">
        <v>213</v>
      </c>
      <c r="N269" s="8"/>
      <c r="O269" s="8" t="s">
        <v>151</v>
      </c>
      <c r="P269" s="8" t="s">
        <v>151</v>
      </c>
      <c r="Q269" s="8" t="s">
        <v>190</v>
      </c>
      <c r="R269" s="8" t="s">
        <v>107</v>
      </c>
      <c r="S269" s="8" t="s">
        <v>99</v>
      </c>
      <c r="T269" s="8" t="s">
        <v>1324</v>
      </c>
    </row>
    <row r="270" customFormat="false" ht="15" hidden="false" customHeight="false" outlineLevel="0" collapsed="false">
      <c r="A270" s="8" t="s">
        <v>1325</v>
      </c>
      <c r="B270" s="8" t="s">
        <v>539</v>
      </c>
      <c r="C270" s="8" t="s">
        <v>144</v>
      </c>
      <c r="D270" s="8" t="s">
        <v>1059</v>
      </c>
      <c r="E270" s="9" t="n">
        <f aca="false">IF(C270="inhibition",-1,1)</f>
        <v>-1</v>
      </c>
      <c r="F270" s="8" t="s">
        <v>1326</v>
      </c>
      <c r="G270" s="10" t="s">
        <v>1327</v>
      </c>
      <c r="H270" s="8" t="s">
        <v>1328</v>
      </c>
      <c r="I270" s="8" t="s">
        <v>158</v>
      </c>
      <c r="J270" s="8" t="s">
        <v>159</v>
      </c>
      <c r="K270" s="8" t="s">
        <v>160</v>
      </c>
      <c r="L270" s="8"/>
      <c r="M270" s="8" t="s">
        <v>86</v>
      </c>
      <c r="N270" s="8"/>
      <c r="O270" s="8" t="s">
        <v>151</v>
      </c>
      <c r="P270" s="8" t="s">
        <v>151</v>
      </c>
      <c r="Q270" s="8" t="s">
        <v>160</v>
      </c>
      <c r="R270" s="8" t="s">
        <v>160</v>
      </c>
      <c r="S270" s="8" t="s">
        <v>160</v>
      </c>
      <c r="T270" s="8" t="s">
        <v>1329</v>
      </c>
    </row>
    <row r="271" customFormat="false" ht="15" hidden="false" customHeight="false" outlineLevel="0" collapsed="false">
      <c r="A271" s="8" t="s">
        <v>1330</v>
      </c>
      <c r="B271" s="8" t="s">
        <v>602</v>
      </c>
      <c r="C271" s="8" t="s">
        <v>77</v>
      </c>
      <c r="D271" s="8" t="s">
        <v>1209</v>
      </c>
      <c r="E271" s="9" t="n">
        <f aca="false">IF(C271="inhibition",-1,1)</f>
        <v>1</v>
      </c>
      <c r="F271" s="8" t="s">
        <v>1331</v>
      </c>
      <c r="G271" s="10" t="s">
        <v>1332</v>
      </c>
      <c r="H271" s="8" t="s">
        <v>1333</v>
      </c>
      <c r="I271" s="8" t="s">
        <v>158</v>
      </c>
      <c r="J271" s="8" t="s">
        <v>159</v>
      </c>
      <c r="K271" s="8" t="s">
        <v>160</v>
      </c>
      <c r="L271" s="8"/>
      <c r="M271" s="8" t="s">
        <v>86</v>
      </c>
      <c r="N271" s="8"/>
      <c r="O271" s="8" t="s">
        <v>443</v>
      </c>
      <c r="P271" s="8" t="s">
        <v>443</v>
      </c>
      <c r="Q271" s="8" t="s">
        <v>160</v>
      </c>
      <c r="R271" s="8" t="s">
        <v>160</v>
      </c>
      <c r="S271" s="8" t="s">
        <v>160</v>
      </c>
      <c r="T271" s="8" t="s">
        <v>1334</v>
      </c>
    </row>
    <row r="272" customFormat="false" ht="15" hidden="false" customHeight="false" outlineLevel="0" collapsed="false">
      <c r="A272" s="8" t="s">
        <v>1335</v>
      </c>
      <c r="B272" s="8" t="s">
        <v>438</v>
      </c>
      <c r="C272" s="8" t="s">
        <v>77</v>
      </c>
      <c r="D272" s="8" t="s">
        <v>1305</v>
      </c>
      <c r="E272" s="9" t="n">
        <f aca="false">IF(C272="inhibition",-1,1)</f>
        <v>1</v>
      </c>
      <c r="F272" s="8" t="s">
        <v>1331</v>
      </c>
      <c r="G272" s="10" t="s">
        <v>1332</v>
      </c>
      <c r="H272" s="8" t="s">
        <v>1333</v>
      </c>
      <c r="I272" s="8" t="s">
        <v>158</v>
      </c>
      <c r="J272" s="8" t="s">
        <v>159</v>
      </c>
      <c r="K272" s="8" t="s">
        <v>160</v>
      </c>
      <c r="L272" s="8"/>
      <c r="M272" s="8" t="s">
        <v>86</v>
      </c>
      <c r="N272" s="8"/>
      <c r="O272" s="8" t="s">
        <v>443</v>
      </c>
      <c r="P272" s="8" t="s">
        <v>443</v>
      </c>
      <c r="Q272" s="8" t="s">
        <v>160</v>
      </c>
      <c r="R272" s="8" t="s">
        <v>160</v>
      </c>
      <c r="S272" s="8" t="s">
        <v>160</v>
      </c>
      <c r="T272" s="8" t="s">
        <v>1334</v>
      </c>
    </row>
    <row r="273" customFormat="false" ht="15" hidden="false" customHeight="false" outlineLevel="0" collapsed="false">
      <c r="A273" s="8" t="s">
        <v>1336</v>
      </c>
      <c r="B273" s="8" t="s">
        <v>1209</v>
      </c>
      <c r="C273" s="8" t="s">
        <v>77</v>
      </c>
      <c r="D273" s="8" t="s">
        <v>936</v>
      </c>
      <c r="E273" s="9" t="n">
        <f aca="false">IF(C273="inhibition",-1,1)</f>
        <v>1</v>
      </c>
      <c r="F273" s="8" t="s">
        <v>1337</v>
      </c>
      <c r="G273" s="10" t="s">
        <v>1338</v>
      </c>
      <c r="H273" s="8"/>
      <c r="I273" s="8" t="s">
        <v>82</v>
      </c>
      <c r="J273" s="8" t="s">
        <v>83</v>
      </c>
      <c r="K273" s="8" t="s">
        <v>499</v>
      </c>
      <c r="L273" s="8"/>
      <c r="M273" s="8" t="s">
        <v>549</v>
      </c>
      <c r="N273" s="8"/>
      <c r="O273" s="8" t="s">
        <v>443</v>
      </c>
      <c r="P273" s="8" t="s">
        <v>443</v>
      </c>
      <c r="Q273" s="8" t="s">
        <v>500</v>
      </c>
      <c r="R273" s="8" t="s">
        <v>98</v>
      </c>
      <c r="S273" s="8" t="s">
        <v>501</v>
      </c>
      <c r="T273" s="8" t="s">
        <v>1339</v>
      </c>
    </row>
    <row r="274" customFormat="false" ht="15" hidden="false" customHeight="false" outlineLevel="0" collapsed="false">
      <c r="A274" s="8" t="s">
        <v>1340</v>
      </c>
      <c r="B274" s="8" t="s">
        <v>1305</v>
      </c>
      <c r="C274" s="8" t="s">
        <v>77</v>
      </c>
      <c r="D274" s="8" t="s">
        <v>942</v>
      </c>
      <c r="E274" s="9" t="n">
        <f aca="false">IF(C274="inhibition",-1,1)</f>
        <v>1</v>
      </c>
      <c r="F274" s="8" t="s">
        <v>1337</v>
      </c>
      <c r="G274" s="10" t="s">
        <v>1338</v>
      </c>
      <c r="H274" s="8"/>
      <c r="I274" s="8" t="s">
        <v>82</v>
      </c>
      <c r="J274" s="8" t="s">
        <v>83</v>
      </c>
      <c r="K274" s="8" t="s">
        <v>499</v>
      </c>
      <c r="L274" s="8"/>
      <c r="M274" s="8" t="s">
        <v>549</v>
      </c>
      <c r="N274" s="8"/>
      <c r="O274" s="8" t="s">
        <v>443</v>
      </c>
      <c r="P274" s="8" t="s">
        <v>443</v>
      </c>
      <c r="Q274" s="8" t="s">
        <v>500</v>
      </c>
      <c r="R274" s="8" t="s">
        <v>98</v>
      </c>
      <c r="S274" s="8" t="s">
        <v>501</v>
      </c>
      <c r="T274" s="8" t="s">
        <v>1339</v>
      </c>
    </row>
    <row r="275" customFormat="false" ht="15" hidden="false" customHeight="false" outlineLevel="0" collapsed="false">
      <c r="A275" s="8" t="s">
        <v>1341</v>
      </c>
      <c r="B275" s="8" t="s">
        <v>352</v>
      </c>
      <c r="C275" s="8" t="s">
        <v>77</v>
      </c>
      <c r="D275" s="8" t="s">
        <v>194</v>
      </c>
      <c r="E275" s="9" t="n">
        <f aca="false">IF(C275="inhibition",-1,1)</f>
        <v>1</v>
      </c>
      <c r="F275" s="8" t="s">
        <v>1342</v>
      </c>
      <c r="G275" s="10" t="s">
        <v>1343</v>
      </c>
      <c r="H275" s="8" t="s">
        <v>1344</v>
      </c>
      <c r="I275" s="8" t="s">
        <v>158</v>
      </c>
      <c r="J275" s="8" t="s">
        <v>159</v>
      </c>
      <c r="K275" s="8" t="s">
        <v>160</v>
      </c>
      <c r="L275" s="8"/>
      <c r="M275" s="8" t="s">
        <v>86</v>
      </c>
      <c r="N275" s="8"/>
      <c r="O275" s="8" t="s">
        <v>183</v>
      </c>
      <c r="P275" s="8" t="s">
        <v>199</v>
      </c>
      <c r="Q275" s="8" t="s">
        <v>215</v>
      </c>
      <c r="R275" s="8" t="s">
        <v>160</v>
      </c>
      <c r="S275" s="8" t="s">
        <v>160</v>
      </c>
      <c r="T275" s="8" t="s">
        <v>1345</v>
      </c>
    </row>
    <row r="276" customFormat="false" ht="15" hidden="false" customHeight="false" outlineLevel="0" collapsed="false">
      <c r="A276" s="8" t="s">
        <v>1346</v>
      </c>
      <c r="B276" s="8" t="s">
        <v>563</v>
      </c>
      <c r="C276" s="8" t="s">
        <v>77</v>
      </c>
      <c r="D276" s="8" t="s">
        <v>194</v>
      </c>
      <c r="E276" s="9" t="n">
        <f aca="false">IF(C276="inhibition",-1,1)</f>
        <v>1</v>
      </c>
      <c r="F276" s="8" t="s">
        <v>1347</v>
      </c>
      <c r="G276" s="10" t="s">
        <v>1348</v>
      </c>
      <c r="H276" s="8" t="s">
        <v>1349</v>
      </c>
      <c r="I276" s="8" t="s">
        <v>82</v>
      </c>
      <c r="J276" s="8" t="s">
        <v>83</v>
      </c>
      <c r="K276" s="8" t="s">
        <v>236</v>
      </c>
      <c r="L276" s="8" t="s">
        <v>1350</v>
      </c>
      <c r="M276" s="8" t="s">
        <v>86</v>
      </c>
      <c r="N276" s="8"/>
      <c r="O276" s="8" t="s">
        <v>285</v>
      </c>
      <c r="P276" s="8" t="s">
        <v>199</v>
      </c>
      <c r="Q276" s="8" t="s">
        <v>89</v>
      </c>
      <c r="R276" s="8" t="s">
        <v>90</v>
      </c>
      <c r="S276" s="8" t="s">
        <v>1351</v>
      </c>
      <c r="T276" s="8" t="s">
        <v>1352</v>
      </c>
    </row>
    <row r="277" customFormat="false" ht="15" hidden="false" customHeight="false" outlineLevel="0" collapsed="false">
      <c r="A277" s="8" t="s">
        <v>1353</v>
      </c>
      <c r="B277" s="8" t="s">
        <v>936</v>
      </c>
      <c r="C277" s="8" t="s">
        <v>77</v>
      </c>
      <c r="D277" s="8" t="s">
        <v>194</v>
      </c>
      <c r="E277" s="9" t="n">
        <f aca="false">IF(C277="inhibition",-1,1)</f>
        <v>1</v>
      </c>
      <c r="F277" s="8" t="s">
        <v>1354</v>
      </c>
      <c r="G277" s="10" t="s">
        <v>1355</v>
      </c>
      <c r="H277" s="8" t="s">
        <v>1356</v>
      </c>
      <c r="I277" s="8" t="s">
        <v>158</v>
      </c>
      <c r="J277" s="8" t="s">
        <v>159</v>
      </c>
      <c r="K277" s="8" t="s">
        <v>160</v>
      </c>
      <c r="L277" s="8"/>
      <c r="M277" s="8" t="s">
        <v>86</v>
      </c>
      <c r="N277" s="8"/>
      <c r="O277" s="8" t="s">
        <v>443</v>
      </c>
      <c r="P277" s="8" t="s">
        <v>199</v>
      </c>
      <c r="Q277" s="8" t="s">
        <v>215</v>
      </c>
      <c r="R277" s="8" t="s">
        <v>160</v>
      </c>
      <c r="S277" s="8" t="s">
        <v>160</v>
      </c>
      <c r="T277" s="8" t="s">
        <v>1357</v>
      </c>
    </row>
    <row r="278" customFormat="false" ht="15" hidden="false" customHeight="false" outlineLevel="0" collapsed="false">
      <c r="A278" s="8" t="s">
        <v>1358</v>
      </c>
      <c r="B278" s="8" t="s">
        <v>1359</v>
      </c>
      <c r="C278" s="8" t="s">
        <v>144</v>
      </c>
      <c r="D278" s="8" t="s">
        <v>194</v>
      </c>
      <c r="E278" s="9" t="n">
        <f aca="false">IF(C278="inhibition",-1,1)</f>
        <v>-1</v>
      </c>
      <c r="F278" s="8" t="s">
        <v>1360</v>
      </c>
      <c r="G278" s="10" t="s">
        <v>1361</v>
      </c>
      <c r="H278" s="8" t="s">
        <v>1362</v>
      </c>
      <c r="I278" s="8" t="s">
        <v>82</v>
      </c>
      <c r="J278" s="8" t="s">
        <v>106</v>
      </c>
      <c r="K278" s="8" t="s">
        <v>236</v>
      </c>
      <c r="L278" s="8" t="s">
        <v>1363</v>
      </c>
      <c r="M278" s="8" t="s">
        <v>86</v>
      </c>
      <c r="N278" s="8"/>
      <c r="O278" s="8" t="s">
        <v>151</v>
      </c>
      <c r="P278" s="8" t="s">
        <v>199</v>
      </c>
      <c r="Q278" s="8" t="s">
        <v>89</v>
      </c>
      <c r="R278" s="8" t="s">
        <v>1364</v>
      </c>
      <c r="S278" s="8" t="s">
        <v>1365</v>
      </c>
      <c r="T278" s="8" t="s">
        <v>1366</v>
      </c>
    </row>
    <row r="279" customFormat="false" ht="15" hidden="false" customHeight="false" outlineLevel="0" collapsed="false">
      <c r="A279" s="8" t="s">
        <v>1367</v>
      </c>
      <c r="B279" s="8" t="s">
        <v>531</v>
      </c>
      <c r="C279" s="8" t="s">
        <v>77</v>
      </c>
      <c r="D279" s="8" t="s">
        <v>533</v>
      </c>
      <c r="E279" s="9" t="n">
        <f aca="false">IF(C279="inhibition",-1,1)</f>
        <v>1</v>
      </c>
      <c r="F279" s="8" t="s">
        <v>1368</v>
      </c>
      <c r="G279" s="10" t="s">
        <v>1369</v>
      </c>
      <c r="H279" s="8" t="s">
        <v>1370</v>
      </c>
      <c r="I279" s="8" t="s">
        <v>158</v>
      </c>
      <c r="J279" s="8" t="s">
        <v>159</v>
      </c>
      <c r="K279" s="8" t="s">
        <v>160</v>
      </c>
      <c r="L279" s="8"/>
      <c r="M279" s="8" t="s">
        <v>86</v>
      </c>
      <c r="N279" s="8"/>
      <c r="O279" s="8" t="s">
        <v>124</v>
      </c>
      <c r="P279" s="8" t="s">
        <v>124</v>
      </c>
      <c r="Q279" s="8" t="s">
        <v>160</v>
      </c>
      <c r="R279" s="8" t="s">
        <v>160</v>
      </c>
      <c r="S279" s="8" t="s">
        <v>160</v>
      </c>
      <c r="T279" s="8" t="s">
        <v>1371</v>
      </c>
    </row>
    <row r="280" customFormat="false" ht="15" hidden="false" customHeight="false" outlineLevel="0" collapsed="false">
      <c r="A280" s="8" t="s">
        <v>1372</v>
      </c>
      <c r="B280" s="8" t="s">
        <v>218</v>
      </c>
      <c r="C280" s="8" t="s">
        <v>77</v>
      </c>
      <c r="D280" s="8" t="s">
        <v>322</v>
      </c>
      <c r="E280" s="9" t="n">
        <f aca="false">IF(C280="inhibition",-1,1)</f>
        <v>1</v>
      </c>
      <c r="F280" s="8" t="s">
        <v>1373</v>
      </c>
      <c r="G280" s="8"/>
      <c r="H280" s="8"/>
      <c r="I280" s="8" t="s">
        <v>158</v>
      </c>
      <c r="J280" s="8" t="s">
        <v>159</v>
      </c>
      <c r="K280" s="8" t="s">
        <v>160</v>
      </c>
      <c r="L280" s="8"/>
      <c r="M280" s="8" t="s">
        <v>213</v>
      </c>
      <c r="N280" s="8"/>
      <c r="O280" s="8" t="s">
        <v>124</v>
      </c>
      <c r="P280" s="8" t="s">
        <v>87</v>
      </c>
      <c r="Q280" s="8" t="s">
        <v>215</v>
      </c>
      <c r="R280" s="8" t="s">
        <v>160</v>
      </c>
      <c r="S280" s="8" t="s">
        <v>160</v>
      </c>
      <c r="T280" s="8" t="s">
        <v>1374</v>
      </c>
    </row>
    <row r="281" customFormat="false" ht="15" hidden="false" customHeight="false" outlineLevel="0" collapsed="false">
      <c r="A281" s="8" t="s">
        <v>1375</v>
      </c>
      <c r="B281" s="8" t="s">
        <v>531</v>
      </c>
      <c r="C281" s="8" t="s">
        <v>77</v>
      </c>
      <c r="D281" s="8" t="s">
        <v>322</v>
      </c>
      <c r="E281" s="9" t="n">
        <f aca="false">IF(C281="inhibition",-1,1)</f>
        <v>1</v>
      </c>
      <c r="F281" s="8" t="s">
        <v>1376</v>
      </c>
      <c r="G281" s="10" t="s">
        <v>1377</v>
      </c>
      <c r="H281" s="8" t="s">
        <v>1378</v>
      </c>
      <c r="I281" s="8" t="s">
        <v>158</v>
      </c>
      <c r="J281" s="8" t="s">
        <v>159</v>
      </c>
      <c r="K281" s="8" t="s">
        <v>160</v>
      </c>
      <c r="L281" s="8"/>
      <c r="M281" s="8" t="s">
        <v>549</v>
      </c>
      <c r="N281" s="8"/>
      <c r="O281" s="8" t="s">
        <v>124</v>
      </c>
      <c r="P281" s="8" t="s">
        <v>87</v>
      </c>
      <c r="Q281" s="8" t="s">
        <v>160</v>
      </c>
      <c r="R281" s="8" t="s">
        <v>160</v>
      </c>
      <c r="S281" s="8" t="s">
        <v>160</v>
      </c>
      <c r="T281" s="8" t="s">
        <v>1379</v>
      </c>
    </row>
    <row r="282" customFormat="false" ht="15" hidden="false" customHeight="false" outlineLevel="0" collapsed="false">
      <c r="A282" s="8" t="s">
        <v>1380</v>
      </c>
      <c r="B282" s="8" t="s">
        <v>134</v>
      </c>
      <c r="C282" s="8" t="s">
        <v>77</v>
      </c>
      <c r="D282" s="8" t="s">
        <v>322</v>
      </c>
      <c r="E282" s="9" t="n">
        <f aca="false">IF(C282="inhibition",-1,1)</f>
        <v>1</v>
      </c>
      <c r="F282" s="8" t="s">
        <v>1376</v>
      </c>
      <c r="G282" s="10" t="s">
        <v>1377</v>
      </c>
      <c r="H282" s="8" t="s">
        <v>1378</v>
      </c>
      <c r="I282" s="8" t="s">
        <v>158</v>
      </c>
      <c r="J282" s="8" t="s">
        <v>159</v>
      </c>
      <c r="K282" s="8" t="s">
        <v>160</v>
      </c>
      <c r="L282" s="8"/>
      <c r="M282" s="8" t="s">
        <v>549</v>
      </c>
      <c r="N282" s="8"/>
      <c r="O282" s="8" t="s">
        <v>124</v>
      </c>
      <c r="P282" s="8" t="s">
        <v>87</v>
      </c>
      <c r="Q282" s="8" t="s">
        <v>160</v>
      </c>
      <c r="R282" s="8" t="s">
        <v>160</v>
      </c>
      <c r="S282" s="8" t="s">
        <v>160</v>
      </c>
      <c r="T282" s="8" t="s">
        <v>1379</v>
      </c>
    </row>
    <row r="283" customFormat="false" ht="15" hidden="false" customHeight="false" outlineLevel="0" collapsed="false">
      <c r="A283" s="8" t="s">
        <v>1381</v>
      </c>
      <c r="B283" s="8" t="s">
        <v>102</v>
      </c>
      <c r="C283" s="8" t="s">
        <v>144</v>
      </c>
      <c r="D283" s="8" t="s">
        <v>322</v>
      </c>
      <c r="E283" s="9" t="n">
        <f aca="false">IF(C283="inhibition",-1,1)</f>
        <v>-1</v>
      </c>
      <c r="F283" s="8" t="s">
        <v>1382</v>
      </c>
      <c r="G283" s="10" t="s">
        <v>1383</v>
      </c>
      <c r="H283" s="8" t="s">
        <v>1384</v>
      </c>
      <c r="I283" s="8" t="s">
        <v>138</v>
      </c>
      <c r="J283" s="8" t="s">
        <v>83</v>
      </c>
      <c r="K283" s="8" t="s">
        <v>84</v>
      </c>
      <c r="L283" s="8"/>
      <c r="M283" s="8" t="s">
        <v>86</v>
      </c>
      <c r="N283" s="8"/>
      <c r="O283" s="8" t="s">
        <v>87</v>
      </c>
      <c r="P283" s="8" t="s">
        <v>87</v>
      </c>
      <c r="Q283" s="8" t="s">
        <v>230</v>
      </c>
      <c r="R283" s="8" t="s">
        <v>117</v>
      </c>
      <c r="S283" s="8" t="s">
        <v>99</v>
      </c>
      <c r="T283" s="8" t="s">
        <v>1385</v>
      </c>
    </row>
    <row r="284" customFormat="false" ht="15" hidden="false" customHeight="false" outlineLevel="0" collapsed="false">
      <c r="A284" s="8" t="s">
        <v>1386</v>
      </c>
      <c r="B284" s="8" t="s">
        <v>1387</v>
      </c>
      <c r="C284" s="8" t="s">
        <v>77</v>
      </c>
      <c r="D284" s="8" t="s">
        <v>804</v>
      </c>
      <c r="E284" s="9" t="n">
        <f aca="false">IF(C284="inhibition",-1,1)</f>
        <v>1</v>
      </c>
      <c r="F284" s="8" t="s">
        <v>1388</v>
      </c>
      <c r="G284" s="10" t="s">
        <v>1389</v>
      </c>
      <c r="H284" s="8" t="s">
        <v>1390</v>
      </c>
      <c r="I284" s="8" t="s">
        <v>82</v>
      </c>
      <c r="J284" s="8" t="s">
        <v>83</v>
      </c>
      <c r="K284" s="8" t="s">
        <v>84</v>
      </c>
      <c r="L284" s="8"/>
      <c r="M284" s="8" t="s">
        <v>86</v>
      </c>
      <c r="N284" s="8"/>
      <c r="O284" s="8" t="s">
        <v>151</v>
      </c>
      <c r="P284" s="8" t="s">
        <v>151</v>
      </c>
      <c r="Q284" s="8" t="s">
        <v>97</v>
      </c>
      <c r="R284" s="8" t="s">
        <v>117</v>
      </c>
      <c r="S284" s="8" t="s">
        <v>99</v>
      </c>
      <c r="T284" s="8" t="s">
        <v>1391</v>
      </c>
    </row>
    <row r="285" customFormat="false" ht="15" hidden="false" customHeight="false" outlineLevel="0" collapsed="false">
      <c r="A285" s="8" t="s">
        <v>1392</v>
      </c>
      <c r="B285" s="8" t="s">
        <v>249</v>
      </c>
      <c r="C285" s="8" t="s">
        <v>77</v>
      </c>
      <c r="D285" s="8" t="s">
        <v>1393</v>
      </c>
      <c r="E285" s="9" t="n">
        <f aca="false">IF(C285="inhibition",-1,1)</f>
        <v>1</v>
      </c>
      <c r="F285" s="8" t="s">
        <v>832</v>
      </c>
      <c r="G285" s="10" t="s">
        <v>833</v>
      </c>
      <c r="H285" s="8" t="s">
        <v>834</v>
      </c>
      <c r="I285" s="8" t="s">
        <v>82</v>
      </c>
      <c r="J285" s="8" t="s">
        <v>106</v>
      </c>
      <c r="K285" s="8" t="s">
        <v>499</v>
      </c>
      <c r="L285" s="8"/>
      <c r="M285" s="8" t="s">
        <v>86</v>
      </c>
      <c r="N285" s="8"/>
      <c r="O285" s="8" t="s">
        <v>87</v>
      </c>
      <c r="P285" s="8" t="s">
        <v>214</v>
      </c>
      <c r="Q285" s="8" t="s">
        <v>835</v>
      </c>
      <c r="R285" s="8" t="s">
        <v>278</v>
      </c>
      <c r="S285" s="8" t="s">
        <v>501</v>
      </c>
      <c r="T285" s="8" t="s">
        <v>836</v>
      </c>
    </row>
    <row r="286" customFormat="false" ht="15" hidden="false" customHeight="false" outlineLevel="0" collapsed="false">
      <c r="A286" s="8" t="s">
        <v>1394</v>
      </c>
      <c r="B286" s="8" t="s">
        <v>335</v>
      </c>
      <c r="C286" s="8" t="s">
        <v>77</v>
      </c>
      <c r="D286" s="8" t="s">
        <v>1359</v>
      </c>
      <c r="E286" s="9" t="n">
        <f aca="false">IF(C286="inhibition",-1,1)</f>
        <v>1</v>
      </c>
      <c r="F286" s="8" t="s">
        <v>404</v>
      </c>
      <c r="G286" s="10" t="s">
        <v>405</v>
      </c>
      <c r="H286" s="8"/>
      <c r="I286" s="8" t="s">
        <v>158</v>
      </c>
      <c r="J286" s="8" t="s">
        <v>159</v>
      </c>
      <c r="K286" s="8" t="s">
        <v>160</v>
      </c>
      <c r="L286" s="8"/>
      <c r="M286" s="8" t="s">
        <v>86</v>
      </c>
      <c r="N286" s="8"/>
      <c r="O286" s="8" t="s">
        <v>87</v>
      </c>
      <c r="P286" s="8" t="s">
        <v>151</v>
      </c>
      <c r="Q286" s="8" t="s">
        <v>406</v>
      </c>
      <c r="R286" s="8" t="s">
        <v>160</v>
      </c>
      <c r="S286" s="8" t="s">
        <v>160</v>
      </c>
      <c r="T286" s="8" t="s">
        <v>407</v>
      </c>
    </row>
    <row r="287" customFormat="false" ht="15" hidden="false" customHeight="false" outlineLevel="0" collapsed="false">
      <c r="A287" s="8" t="s">
        <v>1395</v>
      </c>
      <c r="B287" s="8" t="s">
        <v>395</v>
      </c>
      <c r="C287" s="8" t="s">
        <v>77</v>
      </c>
      <c r="D287" s="8" t="s">
        <v>1396</v>
      </c>
      <c r="E287" s="9" t="n">
        <f aca="false">IF(C287="inhibition",-1,1)</f>
        <v>1</v>
      </c>
      <c r="F287" s="8" t="s">
        <v>1397</v>
      </c>
      <c r="G287" s="10" t="s">
        <v>1398</v>
      </c>
      <c r="H287" s="8" t="s">
        <v>1399</v>
      </c>
      <c r="I287" s="8" t="s">
        <v>158</v>
      </c>
      <c r="J287" s="8" t="s">
        <v>83</v>
      </c>
      <c r="K287" s="8" t="s">
        <v>499</v>
      </c>
      <c r="L287" s="8"/>
      <c r="M287" s="8" t="s">
        <v>86</v>
      </c>
      <c r="N287" s="8"/>
      <c r="O287" s="8" t="s">
        <v>87</v>
      </c>
      <c r="P287" s="8" t="s">
        <v>151</v>
      </c>
      <c r="Q287" s="8" t="s">
        <v>1095</v>
      </c>
      <c r="R287" s="8" t="s">
        <v>1400</v>
      </c>
      <c r="S287" s="8" t="s">
        <v>501</v>
      </c>
      <c r="T287" s="8" t="s">
        <v>1401</v>
      </c>
    </row>
    <row r="288" customFormat="false" ht="15" hidden="false" customHeight="false" outlineLevel="0" collapsed="false">
      <c r="A288" s="8" t="s">
        <v>1402</v>
      </c>
      <c r="B288" s="8" t="s">
        <v>335</v>
      </c>
      <c r="C288" s="8" t="s">
        <v>77</v>
      </c>
      <c r="D288" s="8" t="s">
        <v>1396</v>
      </c>
      <c r="E288" s="9" t="n">
        <f aca="false">IF(C288="inhibition",-1,1)</f>
        <v>1</v>
      </c>
      <c r="F288" s="8" t="s">
        <v>404</v>
      </c>
      <c r="G288" s="10" t="s">
        <v>405</v>
      </c>
      <c r="H288" s="8"/>
      <c r="I288" s="8" t="s">
        <v>158</v>
      </c>
      <c r="J288" s="8" t="s">
        <v>159</v>
      </c>
      <c r="K288" s="8" t="s">
        <v>160</v>
      </c>
      <c r="L288" s="8"/>
      <c r="M288" s="8" t="s">
        <v>86</v>
      </c>
      <c r="N288" s="8"/>
      <c r="O288" s="8" t="s">
        <v>87</v>
      </c>
      <c r="P288" s="8" t="s">
        <v>151</v>
      </c>
      <c r="Q288" s="8" t="s">
        <v>406</v>
      </c>
      <c r="R288" s="8" t="s">
        <v>160</v>
      </c>
      <c r="S288" s="8" t="s">
        <v>160</v>
      </c>
      <c r="T288" s="8" t="s">
        <v>407</v>
      </c>
    </row>
    <row r="289" customFormat="false" ht="15" hidden="false" customHeight="false" outlineLevel="0" collapsed="false">
      <c r="A289" s="8" t="s">
        <v>1403</v>
      </c>
      <c r="B289" s="8" t="s">
        <v>102</v>
      </c>
      <c r="C289" s="8" t="s">
        <v>77</v>
      </c>
      <c r="D289" s="8" t="s">
        <v>711</v>
      </c>
      <c r="E289" s="9" t="n">
        <f aca="false">IF(C289="inhibition",-1,1)</f>
        <v>1</v>
      </c>
      <c r="F289" s="8" t="s">
        <v>1404</v>
      </c>
      <c r="G289" s="10" t="s">
        <v>1405</v>
      </c>
      <c r="H289" s="8" t="s">
        <v>1406</v>
      </c>
      <c r="I289" s="8" t="s">
        <v>138</v>
      </c>
      <c r="J289" s="8" t="s">
        <v>106</v>
      </c>
      <c r="K289" s="8" t="s">
        <v>499</v>
      </c>
      <c r="L289" s="8"/>
      <c r="M289" s="8" t="s">
        <v>86</v>
      </c>
      <c r="N289" s="8"/>
      <c r="O289" s="8" t="s">
        <v>87</v>
      </c>
      <c r="P289" s="8" t="s">
        <v>214</v>
      </c>
      <c r="Q289" s="8" t="s">
        <v>277</v>
      </c>
      <c r="R289" s="8" t="s">
        <v>278</v>
      </c>
      <c r="S289" s="8" t="s">
        <v>501</v>
      </c>
      <c r="T289" s="8" t="s">
        <v>1407</v>
      </c>
    </row>
    <row r="290" customFormat="false" ht="15" hidden="false" customHeight="false" outlineLevel="0" collapsed="false">
      <c r="A290" s="8" t="s">
        <v>1408</v>
      </c>
      <c r="B290" s="8" t="s">
        <v>102</v>
      </c>
      <c r="C290" s="8" t="s">
        <v>77</v>
      </c>
      <c r="D290" s="8" t="s">
        <v>718</v>
      </c>
      <c r="E290" s="9" t="n">
        <f aca="false">IF(C290="inhibition",-1,1)</f>
        <v>1</v>
      </c>
      <c r="F290" s="8" t="s">
        <v>1404</v>
      </c>
      <c r="G290" s="10" t="s">
        <v>1405</v>
      </c>
      <c r="H290" s="8" t="s">
        <v>1406</v>
      </c>
      <c r="I290" s="8" t="s">
        <v>138</v>
      </c>
      <c r="J290" s="8" t="s">
        <v>106</v>
      </c>
      <c r="K290" s="8" t="s">
        <v>499</v>
      </c>
      <c r="L290" s="8"/>
      <c r="M290" s="8" t="s">
        <v>86</v>
      </c>
      <c r="N290" s="8"/>
      <c r="O290" s="8" t="s">
        <v>87</v>
      </c>
      <c r="P290" s="8" t="s">
        <v>214</v>
      </c>
      <c r="Q290" s="8" t="s">
        <v>277</v>
      </c>
      <c r="R290" s="8" t="s">
        <v>278</v>
      </c>
      <c r="S290" s="8" t="s">
        <v>501</v>
      </c>
      <c r="T290" s="8" t="s">
        <v>1407</v>
      </c>
    </row>
    <row r="291" customFormat="false" ht="15" hidden="false" customHeight="false" outlineLevel="0" collapsed="false">
      <c r="A291" s="8" t="s">
        <v>1409</v>
      </c>
      <c r="B291" s="8" t="s">
        <v>170</v>
      </c>
      <c r="C291" s="8" t="s">
        <v>77</v>
      </c>
      <c r="D291" s="8" t="s">
        <v>102</v>
      </c>
      <c r="E291" s="9" t="n">
        <f aca="false">IF(C291="inhibition",-1,1)</f>
        <v>1</v>
      </c>
      <c r="F291" s="8" t="s">
        <v>103</v>
      </c>
      <c r="G291" s="10" t="s">
        <v>104</v>
      </c>
      <c r="H291" s="8" t="s">
        <v>105</v>
      </c>
      <c r="I291" s="8" t="s">
        <v>82</v>
      </c>
      <c r="J291" s="8" t="s">
        <v>106</v>
      </c>
      <c r="K291" s="8" t="s">
        <v>84</v>
      </c>
      <c r="L291" s="8"/>
      <c r="M291" s="8" t="s">
        <v>86</v>
      </c>
      <c r="N291" s="8"/>
      <c r="O291" s="8" t="s">
        <v>151</v>
      </c>
      <c r="P291" s="8" t="s">
        <v>87</v>
      </c>
      <c r="Q291" s="8" t="s">
        <v>97</v>
      </c>
      <c r="R291" s="8" t="s">
        <v>107</v>
      </c>
      <c r="S291" s="8" t="s">
        <v>108</v>
      </c>
      <c r="T291" s="8" t="s">
        <v>109</v>
      </c>
    </row>
    <row r="292" customFormat="false" ht="15" hidden="false" customHeight="false" outlineLevel="0" collapsed="false">
      <c r="A292" s="8" t="s">
        <v>1410</v>
      </c>
      <c r="B292" s="8" t="s">
        <v>210</v>
      </c>
      <c r="C292" s="8" t="s">
        <v>77</v>
      </c>
      <c r="D292" s="8" t="s">
        <v>102</v>
      </c>
      <c r="E292" s="9" t="n">
        <f aca="false">IF(C292="inhibition",-1,1)</f>
        <v>1</v>
      </c>
      <c r="F292" s="8" t="s">
        <v>1411</v>
      </c>
      <c r="G292" s="10" t="s">
        <v>1412</v>
      </c>
      <c r="H292" s="8" t="s">
        <v>1413</v>
      </c>
      <c r="I292" s="8" t="s">
        <v>138</v>
      </c>
      <c r="J292" s="8" t="s">
        <v>159</v>
      </c>
      <c r="K292" s="8" t="s">
        <v>84</v>
      </c>
      <c r="L292" s="8"/>
      <c r="M292" s="8" t="s">
        <v>86</v>
      </c>
      <c r="N292" s="8"/>
      <c r="O292" s="8" t="s">
        <v>87</v>
      </c>
      <c r="P292" s="8" t="s">
        <v>87</v>
      </c>
      <c r="Q292" s="8" t="s">
        <v>1414</v>
      </c>
      <c r="R292" s="8" t="s">
        <v>1415</v>
      </c>
      <c r="S292" s="8" t="s">
        <v>99</v>
      </c>
      <c r="T292" s="8" t="s">
        <v>1416</v>
      </c>
    </row>
    <row r="293" customFormat="false" ht="15" hidden="false" customHeight="false" outlineLevel="0" collapsed="false">
      <c r="A293" s="8" t="s">
        <v>1417</v>
      </c>
      <c r="B293" s="8" t="s">
        <v>76</v>
      </c>
      <c r="C293" s="8" t="s">
        <v>77</v>
      </c>
      <c r="D293" s="8" t="s">
        <v>102</v>
      </c>
      <c r="E293" s="9" t="n">
        <f aca="false">IF(C293="inhibition",-1,1)</f>
        <v>1</v>
      </c>
      <c r="F293" s="8" t="s">
        <v>1418</v>
      </c>
      <c r="G293" s="10" t="s">
        <v>1419</v>
      </c>
      <c r="H293" s="8" t="s">
        <v>1420</v>
      </c>
      <c r="I293" s="8" t="s">
        <v>82</v>
      </c>
      <c r="J293" s="8" t="s">
        <v>83</v>
      </c>
      <c r="K293" s="8" t="s">
        <v>84</v>
      </c>
      <c r="L293" s="8"/>
      <c r="M293" s="8" t="s">
        <v>86</v>
      </c>
      <c r="N293" s="8"/>
      <c r="O293" s="8" t="s">
        <v>87</v>
      </c>
      <c r="P293" s="8" t="s">
        <v>87</v>
      </c>
      <c r="Q293" s="8" t="s">
        <v>97</v>
      </c>
      <c r="R293" s="8" t="s">
        <v>117</v>
      </c>
      <c r="S293" s="8" t="s">
        <v>99</v>
      </c>
      <c r="T293" s="8" t="s">
        <v>1421</v>
      </c>
    </row>
    <row r="294" customFormat="false" ht="15" hidden="false" customHeight="false" outlineLevel="0" collapsed="false">
      <c r="A294" s="8" t="s">
        <v>1422</v>
      </c>
      <c r="B294" s="8" t="s">
        <v>942</v>
      </c>
      <c r="C294" s="8" t="s">
        <v>77</v>
      </c>
      <c r="D294" s="8" t="s">
        <v>102</v>
      </c>
      <c r="E294" s="9" t="n">
        <f aca="false">IF(C294="inhibition",-1,1)</f>
        <v>1</v>
      </c>
      <c r="F294" s="8" t="s">
        <v>1423</v>
      </c>
      <c r="G294" s="10" t="s">
        <v>1424</v>
      </c>
      <c r="H294" s="8" t="s">
        <v>1425</v>
      </c>
      <c r="I294" s="8" t="s">
        <v>138</v>
      </c>
      <c r="J294" s="8" t="s">
        <v>83</v>
      </c>
      <c r="K294" s="8" t="s">
        <v>84</v>
      </c>
      <c r="L294" s="8"/>
      <c r="M294" s="8" t="s">
        <v>86</v>
      </c>
      <c r="N294" s="8"/>
      <c r="O294" s="8" t="s">
        <v>443</v>
      </c>
      <c r="P294" s="8" t="s">
        <v>87</v>
      </c>
      <c r="Q294" s="8" t="s">
        <v>190</v>
      </c>
      <c r="R294" s="8" t="s">
        <v>83</v>
      </c>
      <c r="S294" s="8" t="s">
        <v>99</v>
      </c>
      <c r="T294" s="8" t="s">
        <v>1426</v>
      </c>
    </row>
    <row r="295" customFormat="false" ht="15" hidden="false" customHeight="false" outlineLevel="0" collapsed="false">
      <c r="A295" s="8" t="s">
        <v>1427</v>
      </c>
      <c r="B295" s="8" t="s">
        <v>120</v>
      </c>
      <c r="C295" s="8" t="s">
        <v>144</v>
      </c>
      <c r="D295" s="8" t="s">
        <v>102</v>
      </c>
      <c r="E295" s="9" t="n">
        <f aca="false">IF(C295="inhibition",-1,1)</f>
        <v>-1</v>
      </c>
      <c r="F295" s="8" t="s">
        <v>470</v>
      </c>
      <c r="G295" s="10" t="s">
        <v>471</v>
      </c>
      <c r="H295" s="8" t="s">
        <v>472</v>
      </c>
      <c r="I295" s="8" t="s">
        <v>138</v>
      </c>
      <c r="J295" s="8" t="s">
        <v>159</v>
      </c>
      <c r="K295" s="8" t="s">
        <v>84</v>
      </c>
      <c r="L295" s="8"/>
      <c r="M295" s="8" t="s">
        <v>86</v>
      </c>
      <c r="N295" s="8"/>
      <c r="O295" s="8" t="s">
        <v>124</v>
      </c>
      <c r="P295" s="8" t="s">
        <v>87</v>
      </c>
      <c r="Q295" s="8" t="s">
        <v>190</v>
      </c>
      <c r="R295" s="8" t="s">
        <v>473</v>
      </c>
      <c r="S295" s="8" t="s">
        <v>99</v>
      </c>
      <c r="T295" s="8" t="s">
        <v>474</v>
      </c>
    </row>
    <row r="296" customFormat="false" ht="15" hidden="false" customHeight="false" outlineLevel="0" collapsed="false">
      <c r="A296" s="8" t="s">
        <v>1428</v>
      </c>
      <c r="B296" s="8" t="s">
        <v>128</v>
      </c>
      <c r="C296" s="8" t="s">
        <v>144</v>
      </c>
      <c r="D296" s="8" t="s">
        <v>102</v>
      </c>
      <c r="E296" s="9" t="n">
        <f aca="false">IF(C296="inhibition",-1,1)</f>
        <v>-1</v>
      </c>
      <c r="F296" s="8" t="s">
        <v>1429</v>
      </c>
      <c r="G296" s="8"/>
      <c r="H296" s="8"/>
      <c r="I296" s="8" t="s">
        <v>82</v>
      </c>
      <c r="J296" s="8" t="s">
        <v>83</v>
      </c>
      <c r="K296" s="8" t="s">
        <v>84</v>
      </c>
      <c r="L296" s="8"/>
      <c r="M296" s="8" t="s">
        <v>213</v>
      </c>
      <c r="N296" s="8"/>
      <c r="O296" s="8" t="s">
        <v>87</v>
      </c>
      <c r="P296" s="8" t="s">
        <v>87</v>
      </c>
      <c r="Q296" s="8" t="s">
        <v>97</v>
      </c>
      <c r="R296" s="8" t="s">
        <v>83</v>
      </c>
      <c r="S296" s="8" t="s">
        <v>99</v>
      </c>
      <c r="T296" s="8" t="s">
        <v>1430</v>
      </c>
    </row>
    <row r="297" customFormat="false" ht="15" hidden="false" customHeight="false" outlineLevel="0" collapsed="false">
      <c r="A297" s="8" t="s">
        <v>1431</v>
      </c>
      <c r="B297" s="8" t="s">
        <v>515</v>
      </c>
      <c r="C297" s="8" t="s">
        <v>144</v>
      </c>
      <c r="D297" s="8" t="s">
        <v>102</v>
      </c>
      <c r="E297" s="9" t="n">
        <f aca="false">IF(C297="inhibition",-1,1)</f>
        <v>-1</v>
      </c>
      <c r="F297" s="8" t="s">
        <v>1432</v>
      </c>
      <c r="G297" s="10" t="s">
        <v>1433</v>
      </c>
      <c r="H297" s="8" t="s">
        <v>1434</v>
      </c>
      <c r="I297" s="8" t="s">
        <v>158</v>
      </c>
      <c r="J297" s="8" t="s">
        <v>159</v>
      </c>
      <c r="K297" s="8" t="s">
        <v>160</v>
      </c>
      <c r="L297" s="8"/>
      <c r="M297" s="8" t="s">
        <v>86</v>
      </c>
      <c r="N297" s="8"/>
      <c r="O297" s="8" t="s">
        <v>87</v>
      </c>
      <c r="P297" s="8" t="s">
        <v>87</v>
      </c>
      <c r="Q297" s="8" t="s">
        <v>160</v>
      </c>
      <c r="R297" s="8" t="s">
        <v>160</v>
      </c>
      <c r="S297" s="8" t="s">
        <v>160</v>
      </c>
      <c r="T297" s="8" t="s">
        <v>1435</v>
      </c>
    </row>
    <row r="298" customFormat="false" ht="15" hidden="false" customHeight="false" outlineLevel="0" collapsed="false">
      <c r="A298" s="8" t="s">
        <v>1436</v>
      </c>
      <c r="B298" s="8" t="s">
        <v>134</v>
      </c>
      <c r="C298" s="8" t="s">
        <v>144</v>
      </c>
      <c r="D298" s="8" t="s">
        <v>102</v>
      </c>
      <c r="E298" s="9" t="n">
        <f aca="false">IF(C298="inhibition",-1,1)</f>
        <v>-1</v>
      </c>
      <c r="F298" s="8" t="s">
        <v>1437</v>
      </c>
      <c r="G298" s="10" t="s">
        <v>1438</v>
      </c>
      <c r="H298" s="8" t="s">
        <v>1439</v>
      </c>
      <c r="I298" s="8" t="s">
        <v>138</v>
      </c>
      <c r="J298" s="8" t="s">
        <v>83</v>
      </c>
      <c r="K298" s="8" t="s">
        <v>84</v>
      </c>
      <c r="L298" s="8"/>
      <c r="M298" s="8" t="s">
        <v>86</v>
      </c>
      <c r="N298" s="8"/>
      <c r="O298" s="8" t="s">
        <v>124</v>
      </c>
      <c r="P298" s="8" t="s">
        <v>87</v>
      </c>
      <c r="Q298" s="8" t="s">
        <v>190</v>
      </c>
      <c r="R298" s="8" t="s">
        <v>117</v>
      </c>
      <c r="S298" s="8" t="s">
        <v>108</v>
      </c>
      <c r="T298" s="8" t="s">
        <v>1440</v>
      </c>
    </row>
    <row r="299" customFormat="false" ht="15" hidden="false" customHeight="false" outlineLevel="0" collapsed="false">
      <c r="A299" s="8" t="s">
        <v>1441</v>
      </c>
      <c r="B299" s="8" t="s">
        <v>352</v>
      </c>
      <c r="C299" s="8" t="s">
        <v>77</v>
      </c>
      <c r="D299" s="8" t="s">
        <v>853</v>
      </c>
      <c r="E299" s="9" t="n">
        <f aca="false">IF(C299="inhibition",-1,1)</f>
        <v>1</v>
      </c>
      <c r="F299" s="8" t="s">
        <v>1442</v>
      </c>
      <c r="G299" s="10" t="s">
        <v>1443</v>
      </c>
      <c r="H299" s="8" t="s">
        <v>1444</v>
      </c>
      <c r="I299" s="8" t="s">
        <v>158</v>
      </c>
      <c r="J299" s="8" t="s">
        <v>159</v>
      </c>
      <c r="K299" s="8" t="s">
        <v>160</v>
      </c>
      <c r="L299" s="8"/>
      <c r="M299" s="8" t="s">
        <v>86</v>
      </c>
      <c r="N299" s="8"/>
      <c r="O299" s="8" t="s">
        <v>183</v>
      </c>
      <c r="P299" s="8" t="s">
        <v>124</v>
      </c>
      <c r="Q299" s="8" t="s">
        <v>215</v>
      </c>
      <c r="R299" s="8" t="s">
        <v>160</v>
      </c>
      <c r="S299" s="8" t="s">
        <v>160</v>
      </c>
      <c r="T299" s="8" t="s">
        <v>1445</v>
      </c>
    </row>
    <row r="300" customFormat="false" ht="15" hidden="false" customHeight="false" outlineLevel="0" collapsed="false">
      <c r="A300" s="8" t="s">
        <v>1446</v>
      </c>
      <c r="B300" s="8" t="s">
        <v>194</v>
      </c>
      <c r="C300" s="8" t="s">
        <v>77</v>
      </c>
      <c r="D300" s="8" t="s">
        <v>853</v>
      </c>
      <c r="E300" s="9" t="n">
        <f aca="false">IF(C300="inhibition",-1,1)</f>
        <v>1</v>
      </c>
      <c r="F300" s="8" t="s">
        <v>1447</v>
      </c>
      <c r="G300" s="10" t="s">
        <v>1448</v>
      </c>
      <c r="H300" s="8" t="s">
        <v>1449</v>
      </c>
      <c r="I300" s="8" t="s">
        <v>158</v>
      </c>
      <c r="J300" s="8" t="s">
        <v>159</v>
      </c>
      <c r="K300" s="8" t="s">
        <v>84</v>
      </c>
      <c r="L300" s="8"/>
      <c r="M300" s="8" t="s">
        <v>86</v>
      </c>
      <c r="N300" s="8"/>
      <c r="O300" s="8" t="s">
        <v>199</v>
      </c>
      <c r="P300" s="8" t="s">
        <v>124</v>
      </c>
      <c r="Q300" s="8" t="s">
        <v>1450</v>
      </c>
      <c r="R300" s="8" t="s">
        <v>1451</v>
      </c>
      <c r="S300" s="8" t="s">
        <v>99</v>
      </c>
      <c r="T300" s="8" t="s">
        <v>1452</v>
      </c>
    </row>
    <row r="301" customFormat="false" ht="15" hidden="false" customHeight="false" outlineLevel="0" collapsed="false">
      <c r="A301" s="8" t="s">
        <v>1453</v>
      </c>
      <c r="B301" s="8" t="s">
        <v>249</v>
      </c>
      <c r="C301" s="8" t="s">
        <v>77</v>
      </c>
      <c r="D301" s="8" t="s">
        <v>1454</v>
      </c>
      <c r="E301" s="9" t="n">
        <f aca="false">IF(C301="inhibition",-1,1)</f>
        <v>1</v>
      </c>
      <c r="F301" s="8" t="s">
        <v>832</v>
      </c>
      <c r="G301" s="10" t="s">
        <v>833</v>
      </c>
      <c r="H301" s="8" t="s">
        <v>834</v>
      </c>
      <c r="I301" s="8" t="s">
        <v>82</v>
      </c>
      <c r="J301" s="8" t="s">
        <v>106</v>
      </c>
      <c r="K301" s="8" t="s">
        <v>499</v>
      </c>
      <c r="L301" s="8"/>
      <c r="M301" s="8" t="s">
        <v>86</v>
      </c>
      <c r="N301" s="8"/>
      <c r="O301" s="8" t="s">
        <v>87</v>
      </c>
      <c r="P301" s="8" t="s">
        <v>214</v>
      </c>
      <c r="Q301" s="8" t="s">
        <v>835</v>
      </c>
      <c r="R301" s="8" t="s">
        <v>278</v>
      </c>
      <c r="S301" s="8" t="s">
        <v>501</v>
      </c>
      <c r="T301" s="8" t="s">
        <v>836</v>
      </c>
    </row>
    <row r="302" customFormat="false" ht="15" hidden="false" customHeight="false" outlineLevel="0" collapsed="false">
      <c r="A302" s="8" t="s">
        <v>1455</v>
      </c>
      <c r="B302" s="8" t="s">
        <v>936</v>
      </c>
      <c r="C302" s="8" t="s">
        <v>77</v>
      </c>
      <c r="D302" s="8" t="s">
        <v>1456</v>
      </c>
      <c r="E302" s="9" t="n">
        <f aca="false">IF(C302="inhibition",-1,1)</f>
        <v>1</v>
      </c>
      <c r="F302" s="8" t="s">
        <v>1457</v>
      </c>
      <c r="G302" s="10" t="s">
        <v>1458</v>
      </c>
      <c r="H302" s="8" t="s">
        <v>1459</v>
      </c>
      <c r="I302" s="8" t="s">
        <v>82</v>
      </c>
      <c r="J302" s="8" t="s">
        <v>83</v>
      </c>
      <c r="K302" s="8" t="s">
        <v>84</v>
      </c>
      <c r="L302" s="8"/>
      <c r="M302" s="8" t="s">
        <v>86</v>
      </c>
      <c r="N302" s="8"/>
      <c r="O302" s="8" t="s">
        <v>443</v>
      </c>
      <c r="P302" s="8" t="s">
        <v>311</v>
      </c>
      <c r="Q302" s="8" t="s">
        <v>346</v>
      </c>
      <c r="R302" s="8" t="s">
        <v>83</v>
      </c>
      <c r="S302" s="8" t="s">
        <v>99</v>
      </c>
      <c r="T302" s="8" t="s">
        <v>1460</v>
      </c>
    </row>
    <row r="303" customFormat="false" ht="15" hidden="false" customHeight="false" outlineLevel="0" collapsed="false">
      <c r="A303" s="8" t="s">
        <v>1461</v>
      </c>
      <c r="B303" s="8" t="s">
        <v>942</v>
      </c>
      <c r="C303" s="8" t="s">
        <v>77</v>
      </c>
      <c r="D303" s="8" t="s">
        <v>1456</v>
      </c>
      <c r="E303" s="9" t="n">
        <f aca="false">IF(C303="inhibition",-1,1)</f>
        <v>1</v>
      </c>
      <c r="F303" s="8" t="s">
        <v>1457</v>
      </c>
      <c r="G303" s="10" t="s">
        <v>1458</v>
      </c>
      <c r="H303" s="8" t="s">
        <v>1459</v>
      </c>
      <c r="I303" s="8" t="s">
        <v>82</v>
      </c>
      <c r="J303" s="8" t="s">
        <v>83</v>
      </c>
      <c r="K303" s="8" t="s">
        <v>84</v>
      </c>
      <c r="L303" s="8"/>
      <c r="M303" s="8" t="s">
        <v>86</v>
      </c>
      <c r="N303" s="8"/>
      <c r="O303" s="8" t="s">
        <v>443</v>
      </c>
      <c r="P303" s="8" t="s">
        <v>311</v>
      </c>
      <c r="Q303" s="8" t="s">
        <v>346</v>
      </c>
      <c r="R303" s="8" t="s">
        <v>83</v>
      </c>
      <c r="S303" s="8" t="s">
        <v>99</v>
      </c>
      <c r="T303" s="8" t="s">
        <v>1460</v>
      </c>
    </row>
    <row r="304" customFormat="false" ht="15" hidden="false" customHeight="false" outlineLevel="0" collapsed="false">
      <c r="A304" s="8" t="s">
        <v>1462</v>
      </c>
      <c r="B304" s="8" t="s">
        <v>613</v>
      </c>
      <c r="C304" s="8" t="s">
        <v>77</v>
      </c>
      <c r="D304" s="8" t="s">
        <v>1456</v>
      </c>
      <c r="E304" s="9" t="n">
        <f aca="false">IF(C304="inhibition",-1,1)</f>
        <v>1</v>
      </c>
      <c r="F304" s="8" t="s">
        <v>1463</v>
      </c>
      <c r="G304" s="10" t="s">
        <v>1464</v>
      </c>
      <c r="H304" s="8" t="s">
        <v>1465</v>
      </c>
      <c r="I304" s="8" t="s">
        <v>158</v>
      </c>
      <c r="J304" s="8" t="s">
        <v>159</v>
      </c>
      <c r="K304" s="8" t="s">
        <v>160</v>
      </c>
      <c r="L304" s="8"/>
      <c r="M304" s="8" t="s">
        <v>86</v>
      </c>
      <c r="N304" s="8"/>
      <c r="O304" s="8" t="s">
        <v>345</v>
      </c>
      <c r="P304" s="8" t="s">
        <v>311</v>
      </c>
      <c r="Q304" s="8" t="s">
        <v>215</v>
      </c>
      <c r="R304" s="8" t="s">
        <v>160</v>
      </c>
      <c r="S304" s="8" t="s">
        <v>160</v>
      </c>
      <c r="T304" s="8" t="s">
        <v>1466</v>
      </c>
    </row>
    <row r="305" customFormat="false" ht="15" hidden="false" customHeight="false" outlineLevel="0" collapsed="false">
      <c r="A305" s="8" t="s">
        <v>1467</v>
      </c>
      <c r="B305" s="8" t="s">
        <v>395</v>
      </c>
      <c r="C305" s="8" t="s">
        <v>77</v>
      </c>
      <c r="D305" s="8" t="s">
        <v>1468</v>
      </c>
      <c r="E305" s="9" t="n">
        <f aca="false">IF(C305="inhibition",-1,1)</f>
        <v>1</v>
      </c>
      <c r="F305" s="8" t="s">
        <v>1469</v>
      </c>
      <c r="G305" s="10" t="s">
        <v>1470</v>
      </c>
      <c r="H305" s="8"/>
      <c r="I305" s="8" t="s">
        <v>158</v>
      </c>
      <c r="J305" s="8" t="s">
        <v>159</v>
      </c>
      <c r="K305" s="8" t="s">
        <v>160</v>
      </c>
      <c r="L305" s="8" t="s">
        <v>1471</v>
      </c>
      <c r="M305" s="8" t="s">
        <v>86</v>
      </c>
      <c r="N305" s="8"/>
      <c r="O305" s="8" t="s">
        <v>87</v>
      </c>
      <c r="P305" s="8" t="s">
        <v>88</v>
      </c>
      <c r="Q305" s="8" t="s">
        <v>160</v>
      </c>
      <c r="R305" s="8" t="s">
        <v>160</v>
      </c>
      <c r="S305" s="8" t="s">
        <v>160</v>
      </c>
      <c r="T305" s="8" t="s">
        <v>1472</v>
      </c>
    </row>
    <row r="306" customFormat="false" ht="15" hidden="false" customHeight="false" outlineLevel="0" collapsed="false">
      <c r="A306" s="8" t="s">
        <v>1473</v>
      </c>
      <c r="B306" s="8" t="s">
        <v>93</v>
      </c>
      <c r="C306" s="8" t="s">
        <v>77</v>
      </c>
      <c r="D306" s="8" t="s">
        <v>1468</v>
      </c>
      <c r="E306" s="9" t="n">
        <f aca="false">IF(C306="inhibition",-1,1)</f>
        <v>1</v>
      </c>
      <c r="F306" s="8" t="s">
        <v>1474</v>
      </c>
      <c r="G306" s="10" t="s">
        <v>1475</v>
      </c>
      <c r="H306" s="8" t="s">
        <v>1476</v>
      </c>
      <c r="I306" s="8" t="s">
        <v>138</v>
      </c>
      <c r="J306" s="8" t="s">
        <v>106</v>
      </c>
      <c r="K306" s="8" t="s">
        <v>84</v>
      </c>
      <c r="L306" s="8"/>
      <c r="M306" s="8" t="s">
        <v>86</v>
      </c>
      <c r="N306" s="8"/>
      <c r="O306" s="8" t="s">
        <v>87</v>
      </c>
      <c r="P306" s="8" t="s">
        <v>88</v>
      </c>
      <c r="Q306" s="8" t="s">
        <v>230</v>
      </c>
      <c r="R306" s="8" t="s">
        <v>430</v>
      </c>
      <c r="S306" s="8" t="s">
        <v>99</v>
      </c>
      <c r="T306" s="8" t="s">
        <v>1477</v>
      </c>
    </row>
    <row r="307" customFormat="false" ht="15" hidden="false" customHeight="false" outlineLevel="0" collapsed="false">
      <c r="A307" s="8" t="s">
        <v>1478</v>
      </c>
      <c r="B307" s="8" t="s">
        <v>102</v>
      </c>
      <c r="C307" s="8" t="s">
        <v>77</v>
      </c>
      <c r="D307" s="8" t="s">
        <v>1468</v>
      </c>
      <c r="E307" s="9" t="n">
        <f aca="false">IF(C307="inhibition",-1,1)</f>
        <v>1</v>
      </c>
      <c r="F307" s="8" t="s">
        <v>1479</v>
      </c>
      <c r="G307" s="8"/>
      <c r="H307" s="8"/>
      <c r="I307" s="8" t="s">
        <v>138</v>
      </c>
      <c r="J307" s="8" t="s">
        <v>159</v>
      </c>
      <c r="K307" s="8" t="s">
        <v>84</v>
      </c>
      <c r="L307" s="8"/>
      <c r="M307" s="8" t="s">
        <v>213</v>
      </c>
      <c r="N307" s="8"/>
      <c r="O307" s="8" t="s">
        <v>87</v>
      </c>
      <c r="P307" s="8" t="s">
        <v>88</v>
      </c>
      <c r="Q307" s="8" t="s">
        <v>190</v>
      </c>
      <c r="R307" s="8" t="s">
        <v>1480</v>
      </c>
      <c r="S307" s="8" t="s">
        <v>99</v>
      </c>
      <c r="T307" s="8" t="s">
        <v>1481</v>
      </c>
    </row>
    <row r="308" customFormat="false" ht="15" hidden="false" customHeight="false" outlineLevel="0" collapsed="false">
      <c r="A308" s="8" t="s">
        <v>1482</v>
      </c>
      <c r="B308" s="8" t="s">
        <v>219</v>
      </c>
      <c r="C308" s="8" t="s">
        <v>144</v>
      </c>
      <c r="D308" s="8" t="s">
        <v>1468</v>
      </c>
      <c r="E308" s="9" t="n">
        <f aca="false">IF(C308="inhibition",-1,1)</f>
        <v>-1</v>
      </c>
      <c r="F308" s="8" t="s">
        <v>1483</v>
      </c>
      <c r="G308" s="10" t="s">
        <v>1484</v>
      </c>
      <c r="H308" s="8" t="s">
        <v>1485</v>
      </c>
      <c r="I308" s="8" t="s">
        <v>158</v>
      </c>
      <c r="J308" s="8" t="s">
        <v>159</v>
      </c>
      <c r="K308" s="8" t="s">
        <v>160</v>
      </c>
      <c r="L308" s="8" t="s">
        <v>1486</v>
      </c>
      <c r="M308" s="8" t="s">
        <v>86</v>
      </c>
      <c r="N308" s="8"/>
      <c r="O308" s="8" t="s">
        <v>87</v>
      </c>
      <c r="P308" s="8" t="s">
        <v>88</v>
      </c>
      <c r="Q308" s="8" t="s">
        <v>160</v>
      </c>
      <c r="R308" s="8" t="s">
        <v>160</v>
      </c>
      <c r="S308" s="8" t="s">
        <v>160</v>
      </c>
      <c r="T308" s="8" t="s">
        <v>1487</v>
      </c>
    </row>
    <row r="309" customFormat="false" ht="15" hidden="false" customHeight="false" outlineLevel="0" collapsed="false">
      <c r="A309" s="8" t="s">
        <v>1488</v>
      </c>
      <c r="B309" s="8" t="s">
        <v>219</v>
      </c>
      <c r="C309" s="8" t="s">
        <v>77</v>
      </c>
      <c r="D309" s="8" t="s">
        <v>1489</v>
      </c>
      <c r="E309" s="9" t="n">
        <f aca="false">IF(C309="inhibition",-1,1)</f>
        <v>1</v>
      </c>
      <c r="F309" s="8" t="s">
        <v>860</v>
      </c>
      <c r="G309" s="10" t="s">
        <v>861</v>
      </c>
      <c r="H309" s="8"/>
      <c r="I309" s="8" t="s">
        <v>82</v>
      </c>
      <c r="J309" s="8" t="s">
        <v>106</v>
      </c>
      <c r="K309" s="8" t="s">
        <v>84</v>
      </c>
      <c r="L309" s="8"/>
      <c r="M309" s="8" t="s">
        <v>86</v>
      </c>
      <c r="N309" s="8"/>
      <c r="O309" s="8" t="s">
        <v>87</v>
      </c>
      <c r="P309" s="8" t="s">
        <v>116</v>
      </c>
      <c r="Q309" s="8" t="s">
        <v>97</v>
      </c>
      <c r="R309" s="8" t="s">
        <v>107</v>
      </c>
      <c r="S309" s="8" t="s">
        <v>99</v>
      </c>
      <c r="T309" s="8" t="s">
        <v>862</v>
      </c>
    </row>
    <row r="310" customFormat="false" ht="15" hidden="false" customHeight="false" outlineLevel="0" collapsed="false">
      <c r="A310" s="8" t="s">
        <v>1490</v>
      </c>
      <c r="B310" s="8" t="s">
        <v>128</v>
      </c>
      <c r="C310" s="8" t="s">
        <v>77</v>
      </c>
      <c r="D310" s="8" t="s">
        <v>1489</v>
      </c>
      <c r="E310" s="9" t="n">
        <f aca="false">IF(C310="inhibition",-1,1)</f>
        <v>1</v>
      </c>
      <c r="F310" s="8" t="s">
        <v>864</v>
      </c>
      <c r="G310" s="8"/>
      <c r="H310" s="8"/>
      <c r="I310" s="8" t="s">
        <v>82</v>
      </c>
      <c r="J310" s="8" t="s">
        <v>83</v>
      </c>
      <c r="K310" s="8" t="s">
        <v>84</v>
      </c>
      <c r="L310" s="8"/>
      <c r="M310" s="8" t="s">
        <v>213</v>
      </c>
      <c r="N310" s="8"/>
      <c r="O310" s="8" t="s">
        <v>87</v>
      </c>
      <c r="P310" s="8" t="s">
        <v>116</v>
      </c>
      <c r="Q310" s="8" t="s">
        <v>97</v>
      </c>
      <c r="R310" s="8" t="s">
        <v>98</v>
      </c>
      <c r="S310" s="8" t="s">
        <v>99</v>
      </c>
      <c r="T310" s="8" t="s">
        <v>865</v>
      </c>
    </row>
    <row r="311" customFormat="false" ht="15" hidden="false" customHeight="false" outlineLevel="0" collapsed="false">
      <c r="A311" s="8" t="s">
        <v>1491</v>
      </c>
      <c r="B311" s="8" t="s">
        <v>515</v>
      </c>
      <c r="C311" s="8" t="s">
        <v>77</v>
      </c>
      <c r="D311" s="8" t="s">
        <v>1489</v>
      </c>
      <c r="E311" s="9" t="n">
        <f aca="false">IF(C311="inhibition",-1,1)</f>
        <v>1</v>
      </c>
      <c r="F311" s="8" t="s">
        <v>1492</v>
      </c>
      <c r="G311" s="10" t="s">
        <v>1493</v>
      </c>
      <c r="H311" s="8" t="s">
        <v>1494</v>
      </c>
      <c r="I311" s="8" t="s">
        <v>138</v>
      </c>
      <c r="J311" s="8" t="s">
        <v>106</v>
      </c>
      <c r="K311" s="8" t="s">
        <v>84</v>
      </c>
      <c r="L311" s="8"/>
      <c r="M311" s="8" t="s">
        <v>86</v>
      </c>
      <c r="N311" s="8"/>
      <c r="O311" s="8" t="s">
        <v>87</v>
      </c>
      <c r="P311" s="8" t="s">
        <v>116</v>
      </c>
      <c r="Q311" s="8" t="s">
        <v>230</v>
      </c>
      <c r="R311" s="8" t="s">
        <v>772</v>
      </c>
      <c r="S311" s="8" t="s">
        <v>99</v>
      </c>
      <c r="T311" s="8" t="s">
        <v>1495</v>
      </c>
    </row>
    <row r="312" customFormat="false" ht="15" hidden="false" customHeight="false" outlineLevel="0" collapsed="false">
      <c r="A312" s="8" t="s">
        <v>1496</v>
      </c>
      <c r="B312" s="8" t="s">
        <v>218</v>
      </c>
      <c r="C312" s="8" t="s">
        <v>77</v>
      </c>
      <c r="D312" s="8" t="s">
        <v>249</v>
      </c>
      <c r="E312" s="9" t="n">
        <f aca="false">IF(C312="inhibition",-1,1)</f>
        <v>1</v>
      </c>
      <c r="F312" s="8" t="s">
        <v>578</v>
      </c>
      <c r="G312" s="10" t="s">
        <v>579</v>
      </c>
      <c r="H312" s="8" t="s">
        <v>580</v>
      </c>
      <c r="I312" s="8" t="s">
        <v>82</v>
      </c>
      <c r="J312" s="8" t="s">
        <v>106</v>
      </c>
      <c r="K312" s="8" t="s">
        <v>84</v>
      </c>
      <c r="L312" s="8"/>
      <c r="M312" s="8" t="s">
        <v>86</v>
      </c>
      <c r="N312" s="8" t="s">
        <v>581</v>
      </c>
      <c r="O312" s="8" t="s">
        <v>124</v>
      </c>
      <c r="P312" s="8" t="s">
        <v>87</v>
      </c>
      <c r="Q312" s="8" t="s">
        <v>97</v>
      </c>
      <c r="R312" s="8" t="s">
        <v>107</v>
      </c>
      <c r="S312" s="8" t="s">
        <v>99</v>
      </c>
      <c r="T312" s="8" t="s">
        <v>582</v>
      </c>
    </row>
    <row r="313" customFormat="false" ht="15" hidden="false" customHeight="false" outlineLevel="0" collapsed="false">
      <c r="A313" s="8" t="s">
        <v>1497</v>
      </c>
      <c r="B313" s="8" t="s">
        <v>531</v>
      </c>
      <c r="C313" s="8" t="s">
        <v>77</v>
      </c>
      <c r="D313" s="8" t="s">
        <v>249</v>
      </c>
      <c r="E313" s="9" t="n">
        <f aca="false">IF(C313="inhibition",-1,1)</f>
        <v>1</v>
      </c>
      <c r="F313" s="8" t="s">
        <v>578</v>
      </c>
      <c r="G313" s="10" t="s">
        <v>579</v>
      </c>
      <c r="H313" s="8" t="s">
        <v>580</v>
      </c>
      <c r="I313" s="8" t="s">
        <v>82</v>
      </c>
      <c r="J313" s="8" t="s">
        <v>106</v>
      </c>
      <c r="K313" s="8" t="s">
        <v>84</v>
      </c>
      <c r="L313" s="8"/>
      <c r="M313" s="8" t="s">
        <v>86</v>
      </c>
      <c r="N313" s="8" t="s">
        <v>581</v>
      </c>
      <c r="O313" s="8" t="s">
        <v>124</v>
      </c>
      <c r="P313" s="8" t="s">
        <v>87</v>
      </c>
      <c r="Q313" s="8" t="s">
        <v>97</v>
      </c>
      <c r="R313" s="8" t="s">
        <v>107</v>
      </c>
      <c r="S313" s="8" t="s">
        <v>99</v>
      </c>
      <c r="T313" s="8" t="s">
        <v>582</v>
      </c>
    </row>
    <row r="314" customFormat="false" ht="15" hidden="false" customHeight="false" outlineLevel="0" collapsed="false">
      <c r="A314" s="8" t="s">
        <v>1498</v>
      </c>
      <c r="B314" s="8" t="s">
        <v>134</v>
      </c>
      <c r="C314" s="8" t="s">
        <v>77</v>
      </c>
      <c r="D314" s="8" t="s">
        <v>249</v>
      </c>
      <c r="E314" s="9" t="n">
        <f aca="false">IF(C314="inhibition",-1,1)</f>
        <v>1</v>
      </c>
      <c r="F314" s="8" t="s">
        <v>578</v>
      </c>
      <c r="G314" s="10" t="s">
        <v>579</v>
      </c>
      <c r="H314" s="8" t="s">
        <v>580</v>
      </c>
      <c r="I314" s="8" t="s">
        <v>82</v>
      </c>
      <c r="J314" s="8" t="s">
        <v>106</v>
      </c>
      <c r="K314" s="8" t="s">
        <v>84</v>
      </c>
      <c r="L314" s="8"/>
      <c r="M314" s="8" t="s">
        <v>86</v>
      </c>
      <c r="N314" s="8" t="s">
        <v>581</v>
      </c>
      <c r="O314" s="8" t="s">
        <v>124</v>
      </c>
      <c r="P314" s="8" t="s">
        <v>87</v>
      </c>
      <c r="Q314" s="8" t="s">
        <v>97</v>
      </c>
      <c r="R314" s="8" t="s">
        <v>107</v>
      </c>
      <c r="S314" s="8" t="s">
        <v>99</v>
      </c>
      <c r="T314" s="8" t="s">
        <v>582</v>
      </c>
    </row>
    <row r="315" customFormat="false" ht="15" hidden="false" customHeight="false" outlineLevel="0" collapsed="false">
      <c r="A315" s="8" t="s">
        <v>1499</v>
      </c>
      <c r="B315" s="8" t="s">
        <v>539</v>
      </c>
      <c r="C315" s="8" t="s">
        <v>144</v>
      </c>
      <c r="D315" s="8" t="s">
        <v>249</v>
      </c>
      <c r="E315" s="9" t="n">
        <f aca="false">IF(C315="inhibition",-1,1)</f>
        <v>-1</v>
      </c>
      <c r="F315" s="8" t="s">
        <v>1500</v>
      </c>
      <c r="G315" s="10" t="s">
        <v>1501</v>
      </c>
      <c r="H315" s="8" t="s">
        <v>1502</v>
      </c>
      <c r="I315" s="8" t="s">
        <v>158</v>
      </c>
      <c r="J315" s="8" t="s">
        <v>159</v>
      </c>
      <c r="K315" s="8" t="s">
        <v>160</v>
      </c>
      <c r="L315" s="8"/>
      <c r="M315" s="8" t="s">
        <v>86</v>
      </c>
      <c r="N315" s="8"/>
      <c r="O315" s="8" t="s">
        <v>151</v>
      </c>
      <c r="P315" s="8" t="s">
        <v>87</v>
      </c>
      <c r="Q315" s="8" t="s">
        <v>160</v>
      </c>
      <c r="R315" s="8" t="s">
        <v>160</v>
      </c>
      <c r="S315" s="8" t="s">
        <v>160</v>
      </c>
      <c r="T315" s="8" t="s">
        <v>1503</v>
      </c>
    </row>
    <row r="316" customFormat="false" ht="15" hidden="false" customHeight="false" outlineLevel="0" collapsed="false">
      <c r="A316" s="8" t="s">
        <v>1504</v>
      </c>
      <c r="B316" s="8" t="s">
        <v>1505</v>
      </c>
      <c r="C316" s="8" t="s">
        <v>77</v>
      </c>
      <c r="D316" s="8" t="s">
        <v>341</v>
      </c>
      <c r="E316" s="9" t="n">
        <f aca="false">IF(C316="inhibition",-1,1)</f>
        <v>1</v>
      </c>
      <c r="F316" s="8" t="s">
        <v>1506</v>
      </c>
      <c r="G316" s="10" t="s">
        <v>1507</v>
      </c>
      <c r="H316" s="8" t="s">
        <v>1508</v>
      </c>
      <c r="I316" s="8" t="s">
        <v>138</v>
      </c>
      <c r="J316" s="8" t="s">
        <v>159</v>
      </c>
      <c r="K316" s="8" t="s">
        <v>84</v>
      </c>
      <c r="L316" s="8"/>
      <c r="M316" s="8" t="s">
        <v>86</v>
      </c>
      <c r="N316" s="8"/>
      <c r="O316" s="8" t="s">
        <v>345</v>
      </c>
      <c r="P316" s="8" t="s">
        <v>345</v>
      </c>
      <c r="Q316" s="8" t="s">
        <v>230</v>
      </c>
      <c r="R316" s="8" t="s">
        <v>1509</v>
      </c>
      <c r="S316" s="8" t="s">
        <v>99</v>
      </c>
      <c r="T316" s="8" t="s">
        <v>1510</v>
      </c>
    </row>
    <row r="317" customFormat="false" ht="15" hidden="false" customHeight="false" outlineLevel="0" collapsed="false">
      <c r="A317" s="8" t="s">
        <v>1511</v>
      </c>
      <c r="B317" s="8" t="s">
        <v>178</v>
      </c>
      <c r="C317" s="8" t="s">
        <v>77</v>
      </c>
      <c r="D317" s="8" t="s">
        <v>1512</v>
      </c>
      <c r="E317" s="9" t="n">
        <f aca="false">IF(C317="inhibition",-1,1)</f>
        <v>1</v>
      </c>
      <c r="F317" s="8" t="s">
        <v>1065</v>
      </c>
      <c r="G317" s="10" t="s">
        <v>1066</v>
      </c>
      <c r="H317" s="8" t="s">
        <v>1067</v>
      </c>
      <c r="I317" s="8" t="s">
        <v>138</v>
      </c>
      <c r="J317" s="8" t="s">
        <v>106</v>
      </c>
      <c r="K317" s="8" t="s">
        <v>84</v>
      </c>
      <c r="L317" s="8"/>
      <c r="M317" s="8" t="s">
        <v>86</v>
      </c>
      <c r="N317" s="8"/>
      <c r="O317" s="8" t="s">
        <v>151</v>
      </c>
      <c r="P317" s="8" t="s">
        <v>151</v>
      </c>
      <c r="Q317" s="8" t="s">
        <v>190</v>
      </c>
      <c r="R317" s="8" t="s">
        <v>107</v>
      </c>
      <c r="S317" s="8" t="s">
        <v>99</v>
      </c>
      <c r="T317" s="8" t="s">
        <v>1513</v>
      </c>
    </row>
    <row r="318" customFormat="false" ht="15" hidden="false" customHeight="false" outlineLevel="0" collapsed="false">
      <c r="A318" s="8" t="s">
        <v>1514</v>
      </c>
      <c r="B318" s="8" t="s">
        <v>204</v>
      </c>
      <c r="C318" s="8" t="s">
        <v>144</v>
      </c>
      <c r="D318" s="8" t="s">
        <v>1512</v>
      </c>
      <c r="E318" s="9" t="n">
        <f aca="false">IF(C318="inhibition",-1,1)</f>
        <v>-1</v>
      </c>
      <c r="F318" s="8" t="s">
        <v>1515</v>
      </c>
      <c r="G318" s="10" t="s">
        <v>1516</v>
      </c>
      <c r="H318" s="8" t="s">
        <v>1517</v>
      </c>
      <c r="I318" s="8" t="s">
        <v>158</v>
      </c>
      <c r="J318" s="8" t="s">
        <v>159</v>
      </c>
      <c r="K318" s="8" t="s">
        <v>160</v>
      </c>
      <c r="L318" s="8"/>
      <c r="M318" s="8" t="s">
        <v>86</v>
      </c>
      <c r="N318" s="8"/>
      <c r="O318" s="8" t="s">
        <v>151</v>
      </c>
      <c r="P318" s="8" t="s">
        <v>151</v>
      </c>
      <c r="Q318" s="8" t="s">
        <v>160</v>
      </c>
      <c r="R318" s="8" t="s">
        <v>160</v>
      </c>
      <c r="S318" s="8" t="s">
        <v>160</v>
      </c>
      <c r="T318" s="8" t="s">
        <v>1518</v>
      </c>
    </row>
    <row r="319" customFormat="false" ht="15" hidden="false" customHeight="false" outlineLevel="0" collapsed="false">
      <c r="A319" s="8" t="s">
        <v>1519</v>
      </c>
      <c r="B319" s="8" t="s">
        <v>76</v>
      </c>
      <c r="C319" s="8" t="s">
        <v>77</v>
      </c>
      <c r="D319" s="8" t="s">
        <v>1520</v>
      </c>
      <c r="E319" s="9" t="n">
        <f aca="false">IF(C319="inhibition",-1,1)</f>
        <v>1</v>
      </c>
      <c r="F319" s="8" t="s">
        <v>447</v>
      </c>
      <c r="G319" s="10" t="s">
        <v>448</v>
      </c>
      <c r="H319" s="8" t="s">
        <v>449</v>
      </c>
      <c r="I319" s="8" t="s">
        <v>82</v>
      </c>
      <c r="J319" s="8" t="s">
        <v>106</v>
      </c>
      <c r="K319" s="8" t="s">
        <v>84</v>
      </c>
      <c r="L319" s="8"/>
      <c r="M319" s="8" t="s">
        <v>86</v>
      </c>
      <c r="N319" s="8"/>
      <c r="O319" s="8" t="s">
        <v>87</v>
      </c>
      <c r="P319" s="8" t="s">
        <v>311</v>
      </c>
      <c r="Q319" s="8" t="s">
        <v>97</v>
      </c>
      <c r="R319" s="8" t="s">
        <v>107</v>
      </c>
      <c r="S319" s="8" t="s">
        <v>99</v>
      </c>
      <c r="T319" s="8" t="s">
        <v>450</v>
      </c>
    </row>
    <row r="320" customFormat="false" ht="15" hidden="false" customHeight="false" outlineLevel="0" collapsed="false">
      <c r="A320" s="8" t="s">
        <v>1521</v>
      </c>
      <c r="B320" s="8" t="s">
        <v>111</v>
      </c>
      <c r="C320" s="8" t="s">
        <v>77</v>
      </c>
      <c r="D320" s="8" t="s">
        <v>1520</v>
      </c>
      <c r="E320" s="9" t="n">
        <f aca="false">IF(C320="inhibition",-1,1)</f>
        <v>1</v>
      </c>
      <c r="F320" s="8" t="s">
        <v>447</v>
      </c>
      <c r="G320" s="10" t="s">
        <v>448</v>
      </c>
      <c r="H320" s="8" t="s">
        <v>449</v>
      </c>
      <c r="I320" s="8" t="s">
        <v>82</v>
      </c>
      <c r="J320" s="8" t="s">
        <v>106</v>
      </c>
      <c r="K320" s="8" t="s">
        <v>84</v>
      </c>
      <c r="L320" s="8"/>
      <c r="M320" s="8" t="s">
        <v>86</v>
      </c>
      <c r="N320" s="8"/>
      <c r="O320" s="8" t="s">
        <v>87</v>
      </c>
      <c r="P320" s="8" t="s">
        <v>311</v>
      </c>
      <c r="Q320" s="8" t="s">
        <v>97</v>
      </c>
      <c r="R320" s="8" t="s">
        <v>107</v>
      </c>
      <c r="S320" s="8" t="s">
        <v>99</v>
      </c>
      <c r="T320" s="8" t="s">
        <v>450</v>
      </c>
    </row>
    <row r="321" customFormat="false" ht="15" hidden="false" customHeight="false" outlineLevel="0" collapsed="false">
      <c r="A321" s="8" t="s">
        <v>1522</v>
      </c>
      <c r="B321" s="8" t="s">
        <v>128</v>
      </c>
      <c r="C321" s="8" t="s">
        <v>77</v>
      </c>
      <c r="D321" s="8" t="s">
        <v>1520</v>
      </c>
      <c r="E321" s="9" t="n">
        <f aca="false">IF(C321="inhibition",-1,1)</f>
        <v>1</v>
      </c>
      <c r="F321" s="8" t="s">
        <v>1523</v>
      </c>
      <c r="G321" s="10" t="s">
        <v>1524</v>
      </c>
      <c r="H321" s="8" t="s">
        <v>1525</v>
      </c>
      <c r="I321" s="8" t="s">
        <v>82</v>
      </c>
      <c r="J321" s="8" t="s">
        <v>83</v>
      </c>
      <c r="K321" s="8" t="s">
        <v>84</v>
      </c>
      <c r="L321" s="8"/>
      <c r="M321" s="8" t="s">
        <v>86</v>
      </c>
      <c r="N321" s="8"/>
      <c r="O321" s="8" t="s">
        <v>87</v>
      </c>
      <c r="P321" s="8" t="s">
        <v>311</v>
      </c>
      <c r="Q321" s="8" t="s">
        <v>97</v>
      </c>
      <c r="R321" s="8" t="s">
        <v>83</v>
      </c>
      <c r="S321" s="8" t="s">
        <v>99</v>
      </c>
      <c r="T321" s="8" t="s">
        <v>1526</v>
      </c>
    </row>
    <row r="322" customFormat="false" ht="15" hidden="false" customHeight="false" outlineLevel="0" collapsed="false">
      <c r="A322" s="8" t="s">
        <v>1527</v>
      </c>
      <c r="B322" s="8" t="s">
        <v>1152</v>
      </c>
      <c r="C322" s="8" t="s">
        <v>77</v>
      </c>
      <c r="D322" s="8" t="s">
        <v>780</v>
      </c>
      <c r="E322" s="9" t="n">
        <f aca="false">IF(C322="inhibition",-1,1)</f>
        <v>1</v>
      </c>
      <c r="F322" s="8" t="s">
        <v>1528</v>
      </c>
      <c r="G322" s="10" t="s">
        <v>1529</v>
      </c>
      <c r="H322" s="8" t="s">
        <v>1530</v>
      </c>
      <c r="I322" s="8" t="s">
        <v>158</v>
      </c>
      <c r="J322" s="8" t="s">
        <v>159</v>
      </c>
      <c r="K322" s="8" t="s">
        <v>160</v>
      </c>
      <c r="L322" s="8"/>
      <c r="M322" s="8" t="s">
        <v>86</v>
      </c>
      <c r="N322" s="8"/>
      <c r="O322" s="8" t="s">
        <v>151</v>
      </c>
      <c r="P322" s="8" t="s">
        <v>151</v>
      </c>
      <c r="Q322" s="8" t="s">
        <v>160</v>
      </c>
      <c r="R322" s="8" t="s">
        <v>160</v>
      </c>
      <c r="S322" s="8" t="s">
        <v>160</v>
      </c>
      <c r="T322" s="8" t="s">
        <v>1531</v>
      </c>
    </row>
    <row r="323" customFormat="false" ht="15" hidden="false" customHeight="false" outlineLevel="0" collapsed="false">
      <c r="A323" s="8" t="s">
        <v>1532</v>
      </c>
      <c r="B323" s="8" t="s">
        <v>194</v>
      </c>
      <c r="C323" s="8" t="s">
        <v>144</v>
      </c>
      <c r="D323" s="8" t="s">
        <v>780</v>
      </c>
      <c r="E323" s="9" t="n">
        <f aca="false">IF(C323="inhibition",-1,1)</f>
        <v>-1</v>
      </c>
      <c r="F323" s="8" t="s">
        <v>1533</v>
      </c>
      <c r="G323" s="10" t="s">
        <v>1534</v>
      </c>
      <c r="H323" s="8" t="s">
        <v>1535</v>
      </c>
      <c r="I323" s="8" t="s">
        <v>158</v>
      </c>
      <c r="J323" s="8" t="s">
        <v>159</v>
      </c>
      <c r="K323" s="8" t="s">
        <v>160</v>
      </c>
      <c r="L323" s="8"/>
      <c r="M323" s="8" t="s">
        <v>86</v>
      </c>
      <c r="N323" s="8"/>
      <c r="O323" s="8" t="s">
        <v>199</v>
      </c>
      <c r="P323" s="8" t="s">
        <v>151</v>
      </c>
      <c r="Q323" s="8" t="s">
        <v>326</v>
      </c>
      <c r="R323" s="8" t="s">
        <v>160</v>
      </c>
      <c r="S323" s="8" t="s">
        <v>160</v>
      </c>
      <c r="T323" s="8" t="s">
        <v>1536</v>
      </c>
    </row>
    <row r="324" customFormat="false" ht="15" hidden="false" customHeight="false" outlineLevel="0" collapsed="false">
      <c r="A324" s="8" t="s">
        <v>1537</v>
      </c>
      <c r="B324" s="8" t="s">
        <v>128</v>
      </c>
      <c r="C324" s="8" t="s">
        <v>77</v>
      </c>
      <c r="D324" s="8" t="s">
        <v>1538</v>
      </c>
      <c r="E324" s="9" t="n">
        <f aca="false">IF(C324="inhibition",-1,1)</f>
        <v>1</v>
      </c>
      <c r="F324" s="8" t="s">
        <v>1539</v>
      </c>
      <c r="G324" s="8"/>
      <c r="H324" s="8"/>
      <c r="I324" s="8" t="s">
        <v>138</v>
      </c>
      <c r="J324" s="8" t="s">
        <v>83</v>
      </c>
      <c r="K324" s="8" t="s">
        <v>84</v>
      </c>
      <c r="L324" s="8"/>
      <c r="M324" s="8" t="s">
        <v>213</v>
      </c>
      <c r="N324" s="8"/>
      <c r="O324" s="8" t="s">
        <v>87</v>
      </c>
      <c r="P324" s="8" t="s">
        <v>311</v>
      </c>
      <c r="Q324" s="8" t="s">
        <v>190</v>
      </c>
      <c r="R324" s="8" t="s">
        <v>1540</v>
      </c>
      <c r="S324" s="8" t="s">
        <v>99</v>
      </c>
      <c r="T324" s="8" t="s">
        <v>1541</v>
      </c>
    </row>
    <row r="325" customFormat="false" ht="15" hidden="false" customHeight="false" outlineLevel="0" collapsed="false">
      <c r="A325" s="8" t="s">
        <v>1542</v>
      </c>
      <c r="B325" s="8" t="s">
        <v>426</v>
      </c>
      <c r="C325" s="8" t="s">
        <v>77</v>
      </c>
      <c r="D325" s="8" t="s">
        <v>1538</v>
      </c>
      <c r="E325" s="9" t="n">
        <f aca="false">IF(C325="inhibition",-1,1)</f>
        <v>1</v>
      </c>
      <c r="F325" s="8" t="s">
        <v>1543</v>
      </c>
      <c r="G325" s="10" t="s">
        <v>1544</v>
      </c>
      <c r="H325" s="8" t="s">
        <v>1545</v>
      </c>
      <c r="I325" s="8" t="s">
        <v>158</v>
      </c>
      <c r="J325" s="8" t="s">
        <v>159</v>
      </c>
      <c r="K325" s="8" t="s">
        <v>160</v>
      </c>
      <c r="L325" s="8"/>
      <c r="M325" s="8" t="s">
        <v>86</v>
      </c>
      <c r="N325" s="8"/>
      <c r="O325" s="8" t="s">
        <v>87</v>
      </c>
      <c r="P325" s="8" t="s">
        <v>311</v>
      </c>
      <c r="Q325" s="8" t="s">
        <v>215</v>
      </c>
      <c r="R325" s="8" t="s">
        <v>160</v>
      </c>
      <c r="S325" s="8" t="s">
        <v>160</v>
      </c>
      <c r="T325" s="8" t="s">
        <v>1546</v>
      </c>
    </row>
    <row r="326" customFormat="false" ht="15" hidden="false" customHeight="false" outlineLevel="0" collapsed="false">
      <c r="A326" s="8" t="s">
        <v>1547</v>
      </c>
      <c r="B326" s="8" t="s">
        <v>433</v>
      </c>
      <c r="C326" s="8" t="s">
        <v>77</v>
      </c>
      <c r="D326" s="8" t="s">
        <v>1538</v>
      </c>
      <c r="E326" s="9" t="n">
        <f aca="false">IF(C326="inhibition",-1,1)</f>
        <v>1</v>
      </c>
      <c r="F326" s="8" t="s">
        <v>1548</v>
      </c>
      <c r="G326" s="10" t="s">
        <v>1549</v>
      </c>
      <c r="H326" s="8" t="s">
        <v>1550</v>
      </c>
      <c r="I326" s="8" t="s">
        <v>158</v>
      </c>
      <c r="J326" s="8" t="s">
        <v>159</v>
      </c>
      <c r="K326" s="8" t="s">
        <v>160</v>
      </c>
      <c r="L326" s="8"/>
      <c r="M326" s="8" t="s">
        <v>86</v>
      </c>
      <c r="N326" s="8"/>
      <c r="O326" s="8" t="s">
        <v>214</v>
      </c>
      <c r="P326" s="8" t="s">
        <v>311</v>
      </c>
      <c r="Q326" s="8" t="s">
        <v>215</v>
      </c>
      <c r="R326" s="8" t="s">
        <v>160</v>
      </c>
      <c r="S326" s="8" t="s">
        <v>160</v>
      </c>
      <c r="T326" s="8" t="s">
        <v>1551</v>
      </c>
    </row>
    <row r="327" customFormat="false" ht="15" hidden="false" customHeight="false" outlineLevel="0" collapsed="false">
      <c r="A327" s="8" t="s">
        <v>1552</v>
      </c>
      <c r="B327" s="8" t="s">
        <v>102</v>
      </c>
      <c r="C327" s="8" t="s">
        <v>144</v>
      </c>
      <c r="D327" s="8" t="s">
        <v>1538</v>
      </c>
      <c r="E327" s="9" t="n">
        <f aca="false">IF(C327="inhibition",-1,1)</f>
        <v>-1</v>
      </c>
      <c r="F327" s="8" t="s">
        <v>1553</v>
      </c>
      <c r="G327" s="10" t="s">
        <v>1554</v>
      </c>
      <c r="H327" s="8" t="s">
        <v>1555</v>
      </c>
      <c r="I327" s="8" t="s">
        <v>138</v>
      </c>
      <c r="J327" s="8" t="s">
        <v>106</v>
      </c>
      <c r="K327" s="8" t="s">
        <v>84</v>
      </c>
      <c r="L327" s="8"/>
      <c r="M327" s="8" t="s">
        <v>86</v>
      </c>
      <c r="N327" s="8"/>
      <c r="O327" s="8" t="s">
        <v>87</v>
      </c>
      <c r="P327" s="8" t="s">
        <v>311</v>
      </c>
      <c r="Q327" s="8" t="s">
        <v>230</v>
      </c>
      <c r="R327" s="8" t="s">
        <v>278</v>
      </c>
      <c r="S327" s="8" t="s">
        <v>99</v>
      </c>
      <c r="T327" s="8" t="s">
        <v>1556</v>
      </c>
    </row>
    <row r="328" customFormat="false" ht="15" hidden="false" customHeight="false" outlineLevel="0" collapsed="false">
      <c r="A328" s="8" t="s">
        <v>1557</v>
      </c>
      <c r="B328" s="8" t="s">
        <v>128</v>
      </c>
      <c r="C328" s="8" t="s">
        <v>77</v>
      </c>
      <c r="D328" s="8" t="s">
        <v>1558</v>
      </c>
      <c r="E328" s="9" t="n">
        <f aca="false">IF(C328="inhibition",-1,1)</f>
        <v>1</v>
      </c>
      <c r="F328" s="8" t="s">
        <v>1539</v>
      </c>
      <c r="G328" s="8"/>
      <c r="H328" s="8"/>
      <c r="I328" s="8" t="s">
        <v>138</v>
      </c>
      <c r="J328" s="8" t="s">
        <v>83</v>
      </c>
      <c r="K328" s="8" t="s">
        <v>84</v>
      </c>
      <c r="L328" s="8"/>
      <c r="M328" s="8" t="s">
        <v>213</v>
      </c>
      <c r="N328" s="8"/>
      <c r="O328" s="8" t="s">
        <v>87</v>
      </c>
      <c r="P328" s="8" t="s">
        <v>311</v>
      </c>
      <c r="Q328" s="8" t="s">
        <v>190</v>
      </c>
      <c r="R328" s="8" t="s">
        <v>1540</v>
      </c>
      <c r="S328" s="8" t="s">
        <v>99</v>
      </c>
      <c r="T328" s="8" t="s">
        <v>1541</v>
      </c>
    </row>
    <row r="329" customFormat="false" ht="15" hidden="false" customHeight="false" outlineLevel="0" collapsed="false">
      <c r="A329" s="8" t="s">
        <v>1559</v>
      </c>
      <c r="B329" s="8" t="s">
        <v>426</v>
      </c>
      <c r="C329" s="8" t="s">
        <v>77</v>
      </c>
      <c r="D329" s="8" t="s">
        <v>1558</v>
      </c>
      <c r="E329" s="9" t="n">
        <f aca="false">IF(C329="inhibition",-1,1)</f>
        <v>1</v>
      </c>
      <c r="F329" s="8" t="s">
        <v>1543</v>
      </c>
      <c r="G329" s="10" t="s">
        <v>1544</v>
      </c>
      <c r="H329" s="8" t="s">
        <v>1545</v>
      </c>
      <c r="I329" s="8" t="s">
        <v>158</v>
      </c>
      <c r="J329" s="8" t="s">
        <v>159</v>
      </c>
      <c r="K329" s="8" t="s">
        <v>160</v>
      </c>
      <c r="L329" s="8"/>
      <c r="M329" s="8" t="s">
        <v>86</v>
      </c>
      <c r="N329" s="8"/>
      <c r="O329" s="8" t="s">
        <v>87</v>
      </c>
      <c r="P329" s="8" t="s">
        <v>311</v>
      </c>
      <c r="Q329" s="8" t="s">
        <v>215</v>
      </c>
      <c r="R329" s="8" t="s">
        <v>160</v>
      </c>
      <c r="S329" s="8" t="s">
        <v>160</v>
      </c>
      <c r="T329" s="8" t="s">
        <v>1546</v>
      </c>
    </row>
    <row r="330" customFormat="false" ht="15" hidden="false" customHeight="false" outlineLevel="0" collapsed="false">
      <c r="A330" s="8" t="s">
        <v>1560</v>
      </c>
      <c r="B330" s="8" t="s">
        <v>395</v>
      </c>
      <c r="C330" s="8" t="s">
        <v>144</v>
      </c>
      <c r="D330" s="8" t="s">
        <v>1558</v>
      </c>
      <c r="E330" s="9" t="n">
        <f aca="false">IF(C330="inhibition",-1,1)</f>
        <v>-1</v>
      </c>
      <c r="F330" s="8" t="s">
        <v>1561</v>
      </c>
      <c r="G330" s="10" t="s">
        <v>1562</v>
      </c>
      <c r="H330" s="8" t="s">
        <v>1563</v>
      </c>
      <c r="I330" s="8" t="s">
        <v>158</v>
      </c>
      <c r="J330" s="8" t="s">
        <v>159</v>
      </c>
      <c r="K330" s="8" t="s">
        <v>160</v>
      </c>
      <c r="L330" s="8"/>
      <c r="M330" s="8" t="s">
        <v>86</v>
      </c>
      <c r="N330" s="8"/>
      <c r="O330" s="8" t="s">
        <v>87</v>
      </c>
      <c r="P330" s="8" t="s">
        <v>311</v>
      </c>
      <c r="Q330" s="8" t="s">
        <v>215</v>
      </c>
      <c r="R330" s="8" t="s">
        <v>160</v>
      </c>
      <c r="S330" s="8" t="s">
        <v>160</v>
      </c>
      <c r="T330" s="8" t="s">
        <v>1564</v>
      </c>
    </row>
    <row r="331" customFormat="false" ht="15" hidden="false" customHeight="false" outlineLevel="0" collapsed="false">
      <c r="A331" s="8" t="s">
        <v>1565</v>
      </c>
      <c r="B331" s="8" t="s">
        <v>936</v>
      </c>
      <c r="C331" s="8" t="s">
        <v>77</v>
      </c>
      <c r="D331" s="8" t="s">
        <v>426</v>
      </c>
      <c r="E331" s="9" t="n">
        <f aca="false">IF(C331="inhibition",-1,1)</f>
        <v>1</v>
      </c>
      <c r="F331" s="8" t="s">
        <v>1566</v>
      </c>
      <c r="G331" s="10" t="s">
        <v>1567</v>
      </c>
      <c r="H331" s="8" t="s">
        <v>1568</v>
      </c>
      <c r="I331" s="8" t="s">
        <v>82</v>
      </c>
      <c r="J331" s="8" t="s">
        <v>83</v>
      </c>
      <c r="K331" s="8" t="s">
        <v>84</v>
      </c>
      <c r="L331" s="8"/>
      <c r="M331" s="8" t="s">
        <v>86</v>
      </c>
      <c r="N331" s="8"/>
      <c r="O331" s="8" t="s">
        <v>443</v>
      </c>
      <c r="P331" s="8" t="s">
        <v>87</v>
      </c>
      <c r="Q331" s="8" t="s">
        <v>97</v>
      </c>
      <c r="R331" s="8" t="s">
        <v>83</v>
      </c>
      <c r="S331" s="8" t="s">
        <v>108</v>
      </c>
      <c r="T331" s="8" t="s">
        <v>1569</v>
      </c>
    </row>
    <row r="332" customFormat="false" ht="15" hidden="false" customHeight="false" outlineLevel="0" collapsed="false">
      <c r="A332" s="8" t="s">
        <v>1570</v>
      </c>
      <c r="B332" s="8" t="s">
        <v>942</v>
      </c>
      <c r="C332" s="8" t="s">
        <v>77</v>
      </c>
      <c r="D332" s="8" t="s">
        <v>426</v>
      </c>
      <c r="E332" s="9" t="n">
        <f aca="false">IF(C332="inhibition",-1,1)</f>
        <v>1</v>
      </c>
      <c r="F332" s="8" t="s">
        <v>1566</v>
      </c>
      <c r="G332" s="10" t="s">
        <v>1567</v>
      </c>
      <c r="H332" s="8" t="s">
        <v>1568</v>
      </c>
      <c r="I332" s="8" t="s">
        <v>82</v>
      </c>
      <c r="J332" s="8" t="s">
        <v>83</v>
      </c>
      <c r="K332" s="8" t="s">
        <v>84</v>
      </c>
      <c r="L332" s="8"/>
      <c r="M332" s="8" t="s">
        <v>86</v>
      </c>
      <c r="N332" s="8"/>
      <c r="O332" s="8" t="s">
        <v>443</v>
      </c>
      <c r="P332" s="8" t="s">
        <v>87</v>
      </c>
      <c r="Q332" s="8" t="s">
        <v>97</v>
      </c>
      <c r="R332" s="8" t="s">
        <v>83</v>
      </c>
      <c r="S332" s="8" t="s">
        <v>108</v>
      </c>
      <c r="T332" s="8" t="s">
        <v>1569</v>
      </c>
    </row>
    <row r="333" customFormat="false" ht="15" hidden="false" customHeight="false" outlineLevel="0" collapsed="false">
      <c r="A333" s="8" t="s">
        <v>1571</v>
      </c>
      <c r="B333" s="8" t="s">
        <v>930</v>
      </c>
      <c r="C333" s="8" t="s">
        <v>144</v>
      </c>
      <c r="D333" s="8" t="s">
        <v>426</v>
      </c>
      <c r="E333" s="9" t="n">
        <f aca="false">IF(C333="inhibition",-1,1)</f>
        <v>-1</v>
      </c>
      <c r="F333" s="8" t="s">
        <v>1572</v>
      </c>
      <c r="G333" s="10" t="s">
        <v>1573</v>
      </c>
      <c r="H333" s="8" t="s">
        <v>1574</v>
      </c>
      <c r="I333" s="8" t="s">
        <v>82</v>
      </c>
      <c r="J333" s="8" t="s">
        <v>106</v>
      </c>
      <c r="K333" s="8" t="s">
        <v>84</v>
      </c>
      <c r="L333" s="8"/>
      <c r="M333" s="8" t="s">
        <v>86</v>
      </c>
      <c r="N333" s="8"/>
      <c r="O333" s="8" t="s">
        <v>443</v>
      </c>
      <c r="P333" s="8" t="s">
        <v>87</v>
      </c>
      <c r="Q333" s="8" t="s">
        <v>97</v>
      </c>
      <c r="R333" s="8" t="s">
        <v>107</v>
      </c>
      <c r="S333" s="8" t="s">
        <v>99</v>
      </c>
      <c r="T333" s="8" t="s">
        <v>1575</v>
      </c>
    </row>
    <row r="334" customFormat="false" ht="15" hidden="false" customHeight="false" outlineLevel="0" collapsed="false">
      <c r="A334" s="8" t="s">
        <v>1576</v>
      </c>
      <c r="B334" s="8" t="s">
        <v>1505</v>
      </c>
      <c r="C334" s="8" t="s">
        <v>77</v>
      </c>
      <c r="D334" s="8" t="s">
        <v>622</v>
      </c>
      <c r="E334" s="9" t="n">
        <f aca="false">IF(C334="inhibition",-1,1)</f>
        <v>1</v>
      </c>
      <c r="F334" s="8" t="s">
        <v>1577</v>
      </c>
      <c r="G334" s="10" t="s">
        <v>1578</v>
      </c>
      <c r="H334" s="8" t="s">
        <v>1579</v>
      </c>
      <c r="I334" s="8" t="s">
        <v>82</v>
      </c>
      <c r="J334" s="8" t="s">
        <v>106</v>
      </c>
      <c r="K334" s="8" t="s">
        <v>499</v>
      </c>
      <c r="L334" s="8"/>
      <c r="M334" s="8" t="s">
        <v>86</v>
      </c>
      <c r="N334" s="8"/>
      <c r="O334" s="8" t="s">
        <v>345</v>
      </c>
      <c r="P334" s="8" t="s">
        <v>345</v>
      </c>
      <c r="Q334" s="8" t="s">
        <v>500</v>
      </c>
      <c r="R334" s="8" t="s">
        <v>107</v>
      </c>
      <c r="S334" s="8" t="s">
        <v>501</v>
      </c>
      <c r="T334" s="8" t="s">
        <v>1580</v>
      </c>
    </row>
    <row r="335" customFormat="false" ht="15" hidden="false" customHeight="false" outlineLevel="0" collapsed="false">
      <c r="A335" s="8" t="s">
        <v>1581</v>
      </c>
      <c r="B335" s="8" t="s">
        <v>844</v>
      </c>
      <c r="C335" s="8" t="s">
        <v>144</v>
      </c>
      <c r="D335" s="8" t="s">
        <v>622</v>
      </c>
      <c r="E335" s="9" t="n">
        <f aca="false">IF(C335="inhibition",-1,1)</f>
        <v>-1</v>
      </c>
      <c r="F335" s="8" t="s">
        <v>1582</v>
      </c>
      <c r="G335" s="10" t="s">
        <v>1583</v>
      </c>
      <c r="H335" s="8" t="s">
        <v>1584</v>
      </c>
      <c r="I335" s="8" t="s">
        <v>158</v>
      </c>
      <c r="J335" s="8" t="s">
        <v>159</v>
      </c>
      <c r="K335" s="8" t="s">
        <v>160</v>
      </c>
      <c r="L335" s="8" t="s">
        <v>1585</v>
      </c>
      <c r="M335" s="8" t="s">
        <v>86</v>
      </c>
      <c r="N335" s="8"/>
      <c r="O335" s="8" t="s">
        <v>345</v>
      </c>
      <c r="P335" s="8" t="s">
        <v>345</v>
      </c>
      <c r="Q335" s="8" t="s">
        <v>160</v>
      </c>
      <c r="R335" s="8" t="s">
        <v>160</v>
      </c>
      <c r="S335" s="8" t="s">
        <v>160</v>
      </c>
      <c r="T335" s="8" t="s">
        <v>1586</v>
      </c>
    </row>
    <row r="336" customFormat="false" ht="15" hidden="false" customHeight="false" outlineLevel="0" collapsed="false">
      <c r="A336" s="8" t="s">
        <v>1587</v>
      </c>
      <c r="B336" s="8" t="s">
        <v>1167</v>
      </c>
      <c r="C336" s="8" t="s">
        <v>77</v>
      </c>
      <c r="D336" s="8" t="s">
        <v>608</v>
      </c>
      <c r="E336" s="9" t="n">
        <f aca="false">IF(C336="inhibition",-1,1)</f>
        <v>1</v>
      </c>
      <c r="F336" s="8" t="s">
        <v>1588</v>
      </c>
      <c r="G336" s="10" t="s">
        <v>1589</v>
      </c>
      <c r="H336" s="8" t="s">
        <v>1590</v>
      </c>
      <c r="I336" s="8" t="s">
        <v>138</v>
      </c>
      <c r="J336" s="8" t="s">
        <v>159</v>
      </c>
      <c r="K336" s="8" t="s">
        <v>499</v>
      </c>
      <c r="L336" s="8"/>
      <c r="M336" s="8" t="s">
        <v>86</v>
      </c>
      <c r="N336" s="8"/>
      <c r="O336" s="8" t="s">
        <v>345</v>
      </c>
      <c r="P336" s="8" t="s">
        <v>345</v>
      </c>
      <c r="Q336" s="8" t="s">
        <v>1591</v>
      </c>
      <c r="R336" s="8" t="s">
        <v>1592</v>
      </c>
      <c r="S336" s="8" t="s">
        <v>501</v>
      </c>
      <c r="T336" s="8" t="s">
        <v>1593</v>
      </c>
    </row>
    <row r="337" customFormat="false" ht="15" hidden="false" customHeight="false" outlineLevel="0" collapsed="false">
      <c r="A337" s="8" t="s">
        <v>1594</v>
      </c>
      <c r="B337" s="8" t="s">
        <v>844</v>
      </c>
      <c r="C337" s="8" t="s">
        <v>144</v>
      </c>
      <c r="D337" s="8" t="s">
        <v>608</v>
      </c>
      <c r="E337" s="9" t="n">
        <f aca="false">IF(C337="inhibition",-1,1)</f>
        <v>-1</v>
      </c>
      <c r="F337" s="8" t="s">
        <v>1582</v>
      </c>
      <c r="G337" s="10" t="s">
        <v>1583</v>
      </c>
      <c r="H337" s="8" t="s">
        <v>1584</v>
      </c>
      <c r="I337" s="8" t="s">
        <v>158</v>
      </c>
      <c r="J337" s="8" t="s">
        <v>159</v>
      </c>
      <c r="K337" s="8" t="s">
        <v>160</v>
      </c>
      <c r="L337" s="8" t="s">
        <v>1595</v>
      </c>
      <c r="M337" s="8" t="s">
        <v>86</v>
      </c>
      <c r="N337" s="8"/>
      <c r="O337" s="8" t="s">
        <v>345</v>
      </c>
      <c r="P337" s="8" t="s">
        <v>345</v>
      </c>
      <c r="Q337" s="8" t="s">
        <v>160</v>
      </c>
      <c r="R337" s="8" t="s">
        <v>160</v>
      </c>
      <c r="S337" s="8" t="s">
        <v>160</v>
      </c>
      <c r="T337" s="8" t="s">
        <v>1586</v>
      </c>
    </row>
    <row r="338" customFormat="false" ht="15" hidden="false" customHeight="false" outlineLevel="0" collapsed="false">
      <c r="A338" s="8" t="s">
        <v>1596</v>
      </c>
      <c r="B338" s="8" t="s">
        <v>1167</v>
      </c>
      <c r="C338" s="8" t="s">
        <v>77</v>
      </c>
      <c r="D338" s="8" t="s">
        <v>613</v>
      </c>
      <c r="E338" s="9" t="n">
        <f aca="false">IF(C338="inhibition",-1,1)</f>
        <v>1</v>
      </c>
      <c r="F338" s="8" t="s">
        <v>1597</v>
      </c>
      <c r="G338" s="10" t="s">
        <v>1598</v>
      </c>
      <c r="H338" s="8" t="s">
        <v>1599</v>
      </c>
      <c r="I338" s="8" t="s">
        <v>138</v>
      </c>
      <c r="J338" s="8" t="s">
        <v>106</v>
      </c>
      <c r="K338" s="8" t="s">
        <v>84</v>
      </c>
      <c r="L338" s="8"/>
      <c r="M338" s="8" t="s">
        <v>86</v>
      </c>
      <c r="N338" s="8"/>
      <c r="O338" s="8" t="s">
        <v>345</v>
      </c>
      <c r="P338" s="8" t="s">
        <v>345</v>
      </c>
      <c r="Q338" s="8" t="s">
        <v>1600</v>
      </c>
      <c r="R338" s="8" t="s">
        <v>191</v>
      </c>
      <c r="S338" s="8" t="s">
        <v>99</v>
      </c>
      <c r="T338" s="8" t="s">
        <v>1601</v>
      </c>
    </row>
    <row r="339" customFormat="false" ht="15" hidden="false" customHeight="false" outlineLevel="0" collapsed="false">
      <c r="A339" s="8" t="s">
        <v>1602</v>
      </c>
      <c r="B339" s="8" t="s">
        <v>844</v>
      </c>
      <c r="C339" s="8" t="s">
        <v>144</v>
      </c>
      <c r="D339" s="8" t="s">
        <v>613</v>
      </c>
      <c r="E339" s="9" t="n">
        <f aca="false">IF(C339="inhibition",-1,1)</f>
        <v>-1</v>
      </c>
      <c r="F339" s="8" t="s">
        <v>1603</v>
      </c>
      <c r="G339" s="10" t="s">
        <v>1604</v>
      </c>
      <c r="H339" s="8" t="s">
        <v>1605</v>
      </c>
      <c r="I339" s="8" t="s">
        <v>158</v>
      </c>
      <c r="J339" s="8" t="s">
        <v>159</v>
      </c>
      <c r="K339" s="8" t="s">
        <v>160</v>
      </c>
      <c r="L339" s="8" t="s">
        <v>1606</v>
      </c>
      <c r="M339" s="8" t="s">
        <v>86</v>
      </c>
      <c r="N339" s="8"/>
      <c r="O339" s="8" t="s">
        <v>345</v>
      </c>
      <c r="P339" s="8" t="s">
        <v>345</v>
      </c>
      <c r="Q339" s="8" t="s">
        <v>160</v>
      </c>
      <c r="R339" s="8" t="s">
        <v>160</v>
      </c>
      <c r="S339" s="8" t="s">
        <v>160</v>
      </c>
      <c r="T339" s="8" t="s">
        <v>1607</v>
      </c>
    </row>
    <row r="340" customFormat="false" ht="15" hidden="false" customHeight="false" outlineLevel="0" collapsed="false">
      <c r="A340" s="8" t="s">
        <v>1608</v>
      </c>
      <c r="B340" s="8" t="s">
        <v>1505</v>
      </c>
      <c r="C340" s="8" t="s">
        <v>77</v>
      </c>
      <c r="D340" s="8" t="s">
        <v>624</v>
      </c>
      <c r="E340" s="9" t="n">
        <f aca="false">IF(C340="inhibition",-1,1)</f>
        <v>1</v>
      </c>
      <c r="F340" s="8" t="s">
        <v>1609</v>
      </c>
      <c r="G340" s="10" t="s">
        <v>1610</v>
      </c>
      <c r="H340" s="8"/>
      <c r="I340" s="8" t="s">
        <v>158</v>
      </c>
      <c r="J340" s="8" t="s">
        <v>106</v>
      </c>
      <c r="K340" s="8" t="s">
        <v>499</v>
      </c>
      <c r="L340" s="8"/>
      <c r="M340" s="8" t="s">
        <v>86</v>
      </c>
      <c r="N340" s="8"/>
      <c r="O340" s="8" t="s">
        <v>345</v>
      </c>
      <c r="P340" s="8" t="s">
        <v>345</v>
      </c>
      <c r="Q340" s="8" t="s">
        <v>1611</v>
      </c>
      <c r="R340" s="8" t="s">
        <v>191</v>
      </c>
      <c r="S340" s="8" t="s">
        <v>501</v>
      </c>
      <c r="T340" s="8" t="s">
        <v>1612</v>
      </c>
    </row>
    <row r="341" customFormat="false" ht="15" hidden="false" customHeight="false" outlineLevel="0" collapsed="false">
      <c r="A341" s="8" t="s">
        <v>1613</v>
      </c>
      <c r="B341" s="8" t="s">
        <v>844</v>
      </c>
      <c r="C341" s="8" t="s">
        <v>144</v>
      </c>
      <c r="D341" s="8" t="s">
        <v>624</v>
      </c>
      <c r="E341" s="9" t="n">
        <f aca="false">IF(C341="inhibition",-1,1)</f>
        <v>-1</v>
      </c>
      <c r="F341" s="8" t="s">
        <v>1614</v>
      </c>
      <c r="G341" s="10" t="s">
        <v>1615</v>
      </c>
      <c r="H341" s="8" t="s">
        <v>1616</v>
      </c>
      <c r="I341" s="8" t="s">
        <v>158</v>
      </c>
      <c r="J341" s="8" t="s">
        <v>83</v>
      </c>
      <c r="K341" s="8" t="s">
        <v>84</v>
      </c>
      <c r="L341" s="8" t="s">
        <v>1617</v>
      </c>
      <c r="M341" s="8" t="s">
        <v>86</v>
      </c>
      <c r="N341" s="8"/>
      <c r="O341" s="8" t="s">
        <v>345</v>
      </c>
      <c r="P341" s="8" t="s">
        <v>345</v>
      </c>
      <c r="Q341" s="8" t="s">
        <v>1618</v>
      </c>
      <c r="R341" s="8" t="s">
        <v>1619</v>
      </c>
      <c r="S341" s="8" t="s">
        <v>84</v>
      </c>
      <c r="T341" s="8" t="s">
        <v>1620</v>
      </c>
    </row>
    <row r="342" customFormat="false" ht="15" hidden="false" customHeight="false" outlineLevel="0" collapsed="false">
      <c r="A342" s="8" t="s">
        <v>1621</v>
      </c>
      <c r="B342" s="8" t="s">
        <v>1128</v>
      </c>
      <c r="C342" s="8" t="s">
        <v>77</v>
      </c>
      <c r="D342" s="8" t="s">
        <v>433</v>
      </c>
      <c r="E342" s="9" t="n">
        <f aca="false">IF(C342="inhibition",-1,1)</f>
        <v>1</v>
      </c>
      <c r="F342" s="8" t="s">
        <v>1622</v>
      </c>
      <c r="G342" s="10" t="s">
        <v>1623</v>
      </c>
      <c r="H342" s="8" t="s">
        <v>1624</v>
      </c>
      <c r="I342" s="8" t="s">
        <v>82</v>
      </c>
      <c r="J342" s="8" t="s">
        <v>83</v>
      </c>
      <c r="K342" s="8" t="s">
        <v>84</v>
      </c>
      <c r="L342" s="8"/>
      <c r="M342" s="8" t="s">
        <v>86</v>
      </c>
      <c r="N342" s="8"/>
      <c r="O342" s="8" t="s">
        <v>443</v>
      </c>
      <c r="P342" s="8" t="s">
        <v>214</v>
      </c>
      <c r="Q342" s="8" t="s">
        <v>97</v>
      </c>
      <c r="R342" s="8" t="s">
        <v>117</v>
      </c>
      <c r="S342" s="8" t="s">
        <v>99</v>
      </c>
      <c r="T342" s="8" t="s">
        <v>1625</v>
      </c>
    </row>
    <row r="343" customFormat="false" ht="15" hidden="false" customHeight="false" outlineLevel="0" collapsed="false">
      <c r="A343" s="8" t="s">
        <v>1626</v>
      </c>
      <c r="B343" s="8" t="s">
        <v>1134</v>
      </c>
      <c r="C343" s="8" t="s">
        <v>77</v>
      </c>
      <c r="D343" s="8" t="s">
        <v>433</v>
      </c>
      <c r="E343" s="9" t="n">
        <f aca="false">IF(C343="inhibition",-1,1)</f>
        <v>1</v>
      </c>
      <c r="F343" s="8" t="s">
        <v>1622</v>
      </c>
      <c r="G343" s="10" t="s">
        <v>1623</v>
      </c>
      <c r="H343" s="8" t="s">
        <v>1624</v>
      </c>
      <c r="I343" s="8" t="s">
        <v>82</v>
      </c>
      <c r="J343" s="8" t="s">
        <v>83</v>
      </c>
      <c r="K343" s="8" t="s">
        <v>84</v>
      </c>
      <c r="L343" s="8"/>
      <c r="M343" s="8" t="s">
        <v>86</v>
      </c>
      <c r="N343" s="8"/>
      <c r="O343" s="8" t="s">
        <v>443</v>
      </c>
      <c r="P343" s="8" t="s">
        <v>214</v>
      </c>
      <c r="Q343" s="8" t="s">
        <v>97</v>
      </c>
      <c r="R343" s="8" t="s">
        <v>117</v>
      </c>
      <c r="S343" s="8" t="s">
        <v>99</v>
      </c>
      <c r="T343" s="8" t="s">
        <v>1625</v>
      </c>
    </row>
    <row r="344" customFormat="false" ht="15" hidden="false" customHeight="false" outlineLevel="0" collapsed="false">
      <c r="A344" s="8" t="s">
        <v>1627</v>
      </c>
      <c r="B344" s="8" t="s">
        <v>426</v>
      </c>
      <c r="C344" s="8" t="s">
        <v>77</v>
      </c>
      <c r="D344" s="8" t="s">
        <v>433</v>
      </c>
      <c r="E344" s="9" t="n">
        <f aca="false">IF(C344="inhibition",-1,1)</f>
        <v>1</v>
      </c>
      <c r="F344" s="8" t="s">
        <v>1543</v>
      </c>
      <c r="G344" s="10" t="s">
        <v>1544</v>
      </c>
      <c r="H344" s="8" t="s">
        <v>1545</v>
      </c>
      <c r="I344" s="8" t="s">
        <v>158</v>
      </c>
      <c r="J344" s="8" t="s">
        <v>159</v>
      </c>
      <c r="K344" s="8" t="s">
        <v>160</v>
      </c>
      <c r="L344" s="8"/>
      <c r="M344" s="8" t="s">
        <v>86</v>
      </c>
      <c r="N344" s="8"/>
      <c r="O344" s="8" t="s">
        <v>87</v>
      </c>
      <c r="P344" s="8" t="s">
        <v>214</v>
      </c>
      <c r="Q344" s="8" t="s">
        <v>215</v>
      </c>
      <c r="R344" s="8" t="s">
        <v>160</v>
      </c>
      <c r="S344" s="8" t="s">
        <v>160</v>
      </c>
      <c r="T344" s="8" t="s">
        <v>1546</v>
      </c>
    </row>
    <row r="345" customFormat="false" ht="15" hidden="false" customHeight="false" outlineLevel="0" collapsed="false">
      <c r="A345" s="8" t="s">
        <v>1628</v>
      </c>
      <c r="B345" s="8" t="s">
        <v>539</v>
      </c>
      <c r="C345" s="8" t="s">
        <v>144</v>
      </c>
      <c r="D345" s="8" t="s">
        <v>433</v>
      </c>
      <c r="E345" s="9" t="n">
        <f aca="false">IF(C345="inhibition",-1,1)</f>
        <v>-1</v>
      </c>
      <c r="F345" s="8" t="s">
        <v>1629</v>
      </c>
      <c r="G345" s="10" t="s">
        <v>1630</v>
      </c>
      <c r="H345" s="8" t="s">
        <v>1631</v>
      </c>
      <c r="I345" s="8" t="s">
        <v>158</v>
      </c>
      <c r="J345" s="8" t="s">
        <v>159</v>
      </c>
      <c r="K345" s="8" t="s">
        <v>160</v>
      </c>
      <c r="L345" s="8"/>
      <c r="M345" s="8" t="s">
        <v>86</v>
      </c>
      <c r="N345" s="8"/>
      <c r="O345" s="8" t="s">
        <v>151</v>
      </c>
      <c r="P345" s="8" t="s">
        <v>214</v>
      </c>
      <c r="Q345" s="8" t="s">
        <v>160</v>
      </c>
      <c r="R345" s="8" t="s">
        <v>160</v>
      </c>
      <c r="S345" s="8" t="s">
        <v>160</v>
      </c>
      <c r="T345" s="8" t="s">
        <v>1632</v>
      </c>
    </row>
    <row r="346" customFormat="false" ht="15" hidden="false" customHeight="false" outlineLevel="0" collapsed="false">
      <c r="A346" s="8" t="s">
        <v>1633</v>
      </c>
      <c r="B346" s="8" t="s">
        <v>102</v>
      </c>
      <c r="C346" s="8" t="s">
        <v>144</v>
      </c>
      <c r="D346" s="8" t="s">
        <v>433</v>
      </c>
      <c r="E346" s="9" t="n">
        <f aca="false">IF(C346="inhibition",-1,1)</f>
        <v>-1</v>
      </c>
      <c r="F346" s="8" t="s">
        <v>1553</v>
      </c>
      <c r="G346" s="10" t="s">
        <v>1554</v>
      </c>
      <c r="H346" s="8" t="s">
        <v>1555</v>
      </c>
      <c r="I346" s="8" t="s">
        <v>138</v>
      </c>
      <c r="J346" s="8" t="s">
        <v>106</v>
      </c>
      <c r="K346" s="8" t="s">
        <v>84</v>
      </c>
      <c r="L346" s="8"/>
      <c r="M346" s="8" t="s">
        <v>86</v>
      </c>
      <c r="N346" s="8"/>
      <c r="O346" s="8" t="s">
        <v>87</v>
      </c>
      <c r="P346" s="8" t="s">
        <v>214</v>
      </c>
      <c r="Q346" s="8" t="s">
        <v>230</v>
      </c>
      <c r="R346" s="8" t="s">
        <v>278</v>
      </c>
      <c r="S346" s="8" t="s">
        <v>99</v>
      </c>
      <c r="T346" s="8" t="s">
        <v>1556</v>
      </c>
    </row>
    <row r="347" customFormat="false" ht="15" hidden="false" customHeight="false" outlineLevel="0" collapsed="false">
      <c r="A347" s="8" t="s">
        <v>1634</v>
      </c>
      <c r="B347" s="8" t="s">
        <v>178</v>
      </c>
      <c r="C347" s="8" t="s">
        <v>77</v>
      </c>
      <c r="D347" s="8" t="s">
        <v>1387</v>
      </c>
      <c r="E347" s="9" t="n">
        <f aca="false">IF(C347="inhibition",-1,1)</f>
        <v>1</v>
      </c>
      <c r="F347" s="8" t="s">
        <v>1635</v>
      </c>
      <c r="G347" s="10" t="s">
        <v>1636</v>
      </c>
      <c r="H347" s="8" t="s">
        <v>1637</v>
      </c>
      <c r="I347" s="8" t="s">
        <v>82</v>
      </c>
      <c r="J347" s="8" t="s">
        <v>83</v>
      </c>
      <c r="K347" s="8" t="s">
        <v>84</v>
      </c>
      <c r="L347" s="8"/>
      <c r="M347" s="8" t="s">
        <v>86</v>
      </c>
      <c r="N347" s="8"/>
      <c r="O347" s="8" t="s">
        <v>151</v>
      </c>
      <c r="P347" s="8" t="s">
        <v>151</v>
      </c>
      <c r="Q347" s="8" t="s">
        <v>97</v>
      </c>
      <c r="R347" s="8" t="s">
        <v>117</v>
      </c>
      <c r="S347" s="8" t="s">
        <v>99</v>
      </c>
      <c r="T347" s="8" t="s">
        <v>1638</v>
      </c>
    </row>
    <row r="348" customFormat="false" ht="15" hidden="false" customHeight="false" outlineLevel="0" collapsed="false">
      <c r="A348" s="8" t="s">
        <v>1639</v>
      </c>
      <c r="B348" s="8" t="s">
        <v>194</v>
      </c>
      <c r="C348" s="8" t="s">
        <v>144</v>
      </c>
      <c r="D348" s="8" t="s">
        <v>1387</v>
      </c>
      <c r="E348" s="9" t="n">
        <f aca="false">IF(C348="inhibition",-1,1)</f>
        <v>-1</v>
      </c>
      <c r="F348" s="8" t="s">
        <v>1640</v>
      </c>
      <c r="G348" s="10" t="s">
        <v>1641</v>
      </c>
      <c r="H348" s="8" t="s">
        <v>1642</v>
      </c>
      <c r="I348" s="8" t="s">
        <v>158</v>
      </c>
      <c r="J348" s="8" t="s">
        <v>83</v>
      </c>
      <c r="K348" s="8" t="s">
        <v>84</v>
      </c>
      <c r="L348" s="8" t="s">
        <v>1643</v>
      </c>
      <c r="M348" s="8" t="s">
        <v>86</v>
      </c>
      <c r="N348" s="8"/>
      <c r="O348" s="8" t="s">
        <v>199</v>
      </c>
      <c r="P348" s="8" t="s">
        <v>151</v>
      </c>
      <c r="Q348" s="8" t="s">
        <v>1644</v>
      </c>
      <c r="R348" s="8" t="s">
        <v>1178</v>
      </c>
      <c r="S348" s="8" t="s">
        <v>84</v>
      </c>
      <c r="T348" s="8" t="s">
        <v>1645</v>
      </c>
    </row>
    <row r="349" customFormat="false" ht="15" hidden="false" customHeight="false" outlineLevel="0" collapsed="false">
      <c r="A349" s="8" t="s">
        <v>1646</v>
      </c>
      <c r="B349" s="8" t="s">
        <v>804</v>
      </c>
      <c r="C349" s="8" t="s">
        <v>77</v>
      </c>
      <c r="D349" s="8" t="s">
        <v>186</v>
      </c>
      <c r="E349" s="9" t="n">
        <f aca="false">IF(C349="inhibition",-1,1)</f>
        <v>1</v>
      </c>
      <c r="F349" s="8" t="s">
        <v>1647</v>
      </c>
      <c r="G349" s="10" t="s">
        <v>1648</v>
      </c>
      <c r="H349" s="8" t="s">
        <v>1649</v>
      </c>
      <c r="I349" s="8" t="s">
        <v>158</v>
      </c>
      <c r="J349" s="8" t="s">
        <v>159</v>
      </c>
      <c r="K349" s="8" t="s">
        <v>160</v>
      </c>
      <c r="L349" s="8"/>
      <c r="M349" s="8" t="s">
        <v>86</v>
      </c>
      <c r="N349" s="8"/>
      <c r="O349" s="8" t="s">
        <v>151</v>
      </c>
      <c r="P349" s="8" t="s">
        <v>151</v>
      </c>
      <c r="Q349" s="8" t="s">
        <v>326</v>
      </c>
      <c r="R349" s="8" t="s">
        <v>160</v>
      </c>
      <c r="S349" s="8" t="s">
        <v>160</v>
      </c>
      <c r="T349" s="8" t="s">
        <v>1650</v>
      </c>
    </row>
    <row r="350" customFormat="false" ht="15" hidden="false" customHeight="false" outlineLevel="0" collapsed="false">
      <c r="A350" s="8" t="s">
        <v>1651</v>
      </c>
      <c r="B350" s="8" t="s">
        <v>1505</v>
      </c>
      <c r="C350" s="8" t="s">
        <v>77</v>
      </c>
      <c r="D350" s="8" t="s">
        <v>620</v>
      </c>
      <c r="E350" s="9" t="n">
        <f aca="false">IF(C350="inhibition",-1,1)</f>
        <v>1</v>
      </c>
      <c r="F350" s="8" t="s">
        <v>1652</v>
      </c>
      <c r="G350" s="10" t="s">
        <v>1653</v>
      </c>
      <c r="H350" s="8"/>
      <c r="I350" s="8" t="s">
        <v>82</v>
      </c>
      <c r="J350" s="8" t="s">
        <v>106</v>
      </c>
      <c r="K350" s="8" t="s">
        <v>499</v>
      </c>
      <c r="L350" s="8"/>
      <c r="M350" s="8" t="s">
        <v>86</v>
      </c>
      <c r="N350" s="8"/>
      <c r="O350" s="8" t="s">
        <v>345</v>
      </c>
      <c r="P350" s="8" t="s">
        <v>345</v>
      </c>
      <c r="Q350" s="8" t="s">
        <v>500</v>
      </c>
      <c r="R350" s="8" t="s">
        <v>191</v>
      </c>
      <c r="S350" s="8" t="s">
        <v>501</v>
      </c>
      <c r="T350" s="8" t="s">
        <v>1654</v>
      </c>
    </row>
    <row r="351" customFormat="false" ht="15" hidden="false" customHeight="false" outlineLevel="0" collapsed="false">
      <c r="A351" s="8" t="s">
        <v>1655</v>
      </c>
      <c r="B351" s="8" t="s">
        <v>844</v>
      </c>
      <c r="C351" s="8" t="s">
        <v>144</v>
      </c>
      <c r="D351" s="8" t="s">
        <v>620</v>
      </c>
      <c r="E351" s="9" t="n">
        <f aca="false">IF(C351="inhibition",-1,1)</f>
        <v>-1</v>
      </c>
      <c r="F351" s="8" t="s">
        <v>1656</v>
      </c>
      <c r="G351" s="10" t="s">
        <v>1657</v>
      </c>
      <c r="H351" s="8" t="s">
        <v>1658</v>
      </c>
      <c r="I351" s="8" t="s">
        <v>158</v>
      </c>
      <c r="J351" s="8" t="s">
        <v>159</v>
      </c>
      <c r="K351" s="8" t="s">
        <v>160</v>
      </c>
      <c r="L351" s="8" t="s">
        <v>1659</v>
      </c>
      <c r="M351" s="8" t="s">
        <v>86</v>
      </c>
      <c r="N351" s="8"/>
      <c r="O351" s="8" t="s">
        <v>345</v>
      </c>
      <c r="P351" s="8" t="s">
        <v>345</v>
      </c>
      <c r="Q351" s="8" t="s">
        <v>160</v>
      </c>
      <c r="R351" s="8" t="s">
        <v>160</v>
      </c>
      <c r="S351" s="8" t="s">
        <v>160</v>
      </c>
      <c r="T351" s="8" t="s">
        <v>1660</v>
      </c>
    </row>
    <row r="352" customFormat="false" ht="15" hidden="false" customHeight="false" outlineLevel="0" collapsed="false">
      <c r="A352" s="8" t="s">
        <v>1661</v>
      </c>
      <c r="B352" s="8" t="s">
        <v>1167</v>
      </c>
      <c r="C352" s="8" t="s">
        <v>77</v>
      </c>
      <c r="D352" s="8" t="s">
        <v>601</v>
      </c>
      <c r="E352" s="9" t="n">
        <f aca="false">IF(C352="inhibition",-1,1)</f>
        <v>1</v>
      </c>
      <c r="F352" s="8" t="s">
        <v>1652</v>
      </c>
      <c r="G352" s="10" t="s">
        <v>1653</v>
      </c>
      <c r="H352" s="8"/>
      <c r="I352" s="8" t="s">
        <v>82</v>
      </c>
      <c r="J352" s="8" t="s">
        <v>106</v>
      </c>
      <c r="K352" s="8" t="s">
        <v>499</v>
      </c>
      <c r="L352" s="8"/>
      <c r="M352" s="8" t="s">
        <v>86</v>
      </c>
      <c r="N352" s="8"/>
      <c r="O352" s="8" t="s">
        <v>345</v>
      </c>
      <c r="P352" s="8" t="s">
        <v>345</v>
      </c>
      <c r="Q352" s="8" t="s">
        <v>500</v>
      </c>
      <c r="R352" s="8" t="s">
        <v>191</v>
      </c>
      <c r="S352" s="8" t="s">
        <v>501</v>
      </c>
      <c r="T352" s="8" t="s">
        <v>1654</v>
      </c>
    </row>
    <row r="353" customFormat="false" ht="15" hidden="false" customHeight="false" outlineLevel="0" collapsed="false">
      <c r="A353" s="8" t="s">
        <v>1662</v>
      </c>
      <c r="B353" s="8" t="s">
        <v>844</v>
      </c>
      <c r="C353" s="8" t="s">
        <v>144</v>
      </c>
      <c r="D353" s="8" t="s">
        <v>601</v>
      </c>
      <c r="E353" s="9" t="n">
        <f aca="false">IF(C353="inhibition",-1,1)</f>
        <v>-1</v>
      </c>
      <c r="F353" s="8" t="s">
        <v>1656</v>
      </c>
      <c r="G353" s="10" t="s">
        <v>1657</v>
      </c>
      <c r="H353" s="8" t="s">
        <v>1658</v>
      </c>
      <c r="I353" s="8" t="s">
        <v>158</v>
      </c>
      <c r="J353" s="8" t="s">
        <v>159</v>
      </c>
      <c r="K353" s="8" t="s">
        <v>160</v>
      </c>
      <c r="L353" s="8" t="s">
        <v>1663</v>
      </c>
      <c r="M353" s="8" t="s">
        <v>86</v>
      </c>
      <c r="N353" s="8"/>
      <c r="O353" s="8" t="s">
        <v>345</v>
      </c>
      <c r="P353" s="8" t="s">
        <v>345</v>
      </c>
      <c r="Q353" s="8" t="s">
        <v>160</v>
      </c>
      <c r="R353" s="8" t="s">
        <v>160</v>
      </c>
      <c r="S353" s="8" t="s">
        <v>160</v>
      </c>
      <c r="T353" s="8" t="s">
        <v>1660</v>
      </c>
    </row>
    <row r="354" customFormat="false" ht="15" hidden="false" customHeight="false" outlineLevel="0" collapsed="false">
      <c r="A354" s="8" t="s">
        <v>1664</v>
      </c>
      <c r="B354" s="8" t="s">
        <v>194</v>
      </c>
      <c r="C354" s="8" t="s">
        <v>77</v>
      </c>
      <c r="D354" s="8" t="s">
        <v>1665</v>
      </c>
      <c r="E354" s="9" t="n">
        <f aca="false">IF(C354="inhibition",-1,1)</f>
        <v>1</v>
      </c>
      <c r="F354" s="8" t="s">
        <v>1666</v>
      </c>
      <c r="G354" s="10" t="s">
        <v>1667</v>
      </c>
      <c r="H354" s="8" t="s">
        <v>1668</v>
      </c>
      <c r="I354" s="8" t="s">
        <v>82</v>
      </c>
      <c r="J354" s="8" t="s">
        <v>159</v>
      </c>
      <c r="K354" s="8" t="s">
        <v>84</v>
      </c>
      <c r="L354" s="8" t="s">
        <v>1669</v>
      </c>
      <c r="M354" s="8" t="s">
        <v>86</v>
      </c>
      <c r="N354" s="8"/>
      <c r="O354" s="8" t="s">
        <v>199</v>
      </c>
      <c r="P354" s="8" t="s">
        <v>151</v>
      </c>
      <c r="Q354" s="8" t="s">
        <v>89</v>
      </c>
      <c r="R354" s="8" t="s">
        <v>1670</v>
      </c>
      <c r="S354" s="8" t="s">
        <v>84</v>
      </c>
      <c r="T354" s="8" t="s">
        <v>1671</v>
      </c>
    </row>
  </sheetData>
  <conditionalFormatting sqref="C2:C354">
    <cfRule type="expression" priority="2" aboveAverage="0" equalAverage="0" bottom="0" percent="0" rank="0" text="" dxfId="7">
      <formula>$C2="activation"</formula>
    </cfRule>
    <cfRule type="expression" priority="3" aboveAverage="0" equalAverage="0" bottom="0" percent="0" rank="0" text="" dxfId="8">
      <formula>$C2="inhibition"</formula>
    </cfRule>
  </conditionalFormatting>
  <conditionalFormatting sqref="E2:E354">
    <cfRule type="expression" priority="4" aboveAverage="0" equalAverage="0" bottom="0" percent="0" rank="0" text="" dxfId="7">
      <formula>$E2=1</formula>
    </cfRule>
    <cfRule type="expression" priority="5" aboveAverage="0" equalAverage="0" bottom="0" percent="0" rank="0" text="" dxfId="8">
      <formula>$E2=-1</formula>
    </cfRule>
  </conditionalFormatting>
  <conditionalFormatting sqref="M2:M354">
    <cfRule type="expression" priority="6" aboveAverage="0" equalAverage="0" bottom="0" percent="0" rank="0" text="" dxfId="9">
      <formula>LEFT($M2,6)="NOTICE"</formula>
    </cfRule>
  </conditionalFormatting>
  <conditionalFormatting sqref="L2:L354">
    <cfRule type="expression" priority="7" aboveAverage="0" equalAverage="0" bottom="0" percent="0" rank="0" text="" dxfId="10">
      <formula>$L2&lt;&gt;""</formula>
    </cfRule>
  </conditionalFormatting>
  <hyperlinks>
    <hyperlink ref="G2" r:id="rId2" display="10.1016/j.bbrc.2017.05.086"/>
    <hyperlink ref="G3" r:id="rId3" display="10.1111/jcmm.18048"/>
    <hyperlink ref="G4" r:id="rId4" display="10.1002/jcp.21904"/>
    <hyperlink ref="G5" r:id="rId5" display="10.1016/j.lfs.2019.116565"/>
    <hyperlink ref="G6" r:id="rId6" display="10.1186/s12967-016-0833-9"/>
    <hyperlink ref="G7" r:id="rId7" display="10.1186/s13018-015-0296-3"/>
    <hyperlink ref="G8" r:id="rId8" display="10.3892/mmr.2013.1729"/>
    <hyperlink ref="G9" r:id="rId9" display="10.1111/jcmm.18048"/>
    <hyperlink ref="G10" r:id="rId10" display="10.1016/j.joca.2017.08.019"/>
    <hyperlink ref="G11" r:id="rId11" display="10.1160/th13-06-0484"/>
    <hyperlink ref="G12" r:id="rId12" display="10.1126/science.277.5325.567"/>
    <hyperlink ref="G13" r:id="rId13" display="10.1016/j.joca.2017.08.019"/>
    <hyperlink ref="G14" r:id="rId14" display="10.1160/th13-06-0484"/>
    <hyperlink ref="G15" r:id="rId15" display="10.1126/science.277.5325.567"/>
    <hyperlink ref="G16" r:id="rId16" display="10.1016/j.cmet.2005.06.005"/>
    <hyperlink ref="G17" r:id="rId17" display="10.1186/ar4254"/>
    <hyperlink ref="G18" r:id="rId18" display="10.1016/j.freeradbiomed.2009.02.019"/>
    <hyperlink ref="G19" r:id="rId19" display="10.1038/s42255-019-0157-1"/>
    <hyperlink ref="G21" r:id="rId20" display="10.1007/s00418-005-0026-8"/>
    <hyperlink ref="G22" r:id="rId21" display="10.1186/s12967-016-0833-9"/>
    <hyperlink ref="G23" r:id="rId22" display="10.1186/s12967-016-0833-9"/>
    <hyperlink ref="G24" r:id="rId23" display="10.1002/1529-0131(200103)44:3&lt;595::aid-anr108&gt;3.0.co;2-8"/>
    <hyperlink ref="G25" r:id="rId24" display="10.1242/dev.134502; 10.1038/s41556-023-01184-y"/>
    <hyperlink ref="G26" r:id="rId25" display="10.18632/oncotarget.3631"/>
    <hyperlink ref="G27" r:id="rId26" display="10.1038/s41598-021-81838-9"/>
    <hyperlink ref="G28" r:id="rId27" display="10.1371/journal.pone.0158619"/>
    <hyperlink ref="G29" r:id="rId28" display="10.18632/oncotarget.3631"/>
    <hyperlink ref="G30" r:id="rId29" display="10.1038/s41598-021-81838-9"/>
    <hyperlink ref="G31" r:id="rId30" display="10.3390/antiox13060626"/>
    <hyperlink ref="G32" r:id="rId31" display="10.1016/j.ajpath.2024.05.004"/>
    <hyperlink ref="G33" r:id="rId32" display="10.1186/s13018-023-03815-4"/>
    <hyperlink ref="G34" r:id="rId33" display="10.12659/msm.913726"/>
    <hyperlink ref="G35" r:id="rId34" display="10.1038/sj.emboj.7601126"/>
    <hyperlink ref="G36" r:id="rId35" display="10.1186/s13018-023-03815-4"/>
    <hyperlink ref="G37" r:id="rId36" display="10.1186/s13018-023-03815-4"/>
    <hyperlink ref="G38" r:id="rId37" display="10.1002/jcb.21198"/>
    <hyperlink ref="G39" r:id="rId38" display="10.1111/jcmm.18048"/>
    <hyperlink ref="G40" r:id="rId39" display="10.1038/cdd.2017.186"/>
    <hyperlink ref="G41" r:id="rId40" display="10.1016/j.ajpath.2024.05.004"/>
    <hyperlink ref="G43" r:id="rId41" display="10.1016/j.joca.2008.04.027"/>
    <hyperlink ref="G44" r:id="rId42" display="10.1002/dvdy.20323"/>
    <hyperlink ref="G45" r:id="rId43" display="10.1002/jbmr.4019"/>
    <hyperlink ref="G46" r:id="rId44" display="10.3390/cells9010147"/>
    <hyperlink ref="G47" r:id="rId45" display="10.22203/ecm.v032a08"/>
    <hyperlink ref="G48" r:id="rId46" display="10.1016/j.steroids.2005.04.007"/>
    <hyperlink ref="G49" r:id="rId47" display="10.1016/j.intimp.2020.106681"/>
    <hyperlink ref="G50" r:id="rId48" display="10.1038/s41598-021-82067-w"/>
    <hyperlink ref="G51" r:id="rId49" display="10.1038/s12276-020-0441-x"/>
    <hyperlink ref="G52" r:id="rId50" display="10.1016/0167-4838(83)90140-1"/>
    <hyperlink ref="G53" r:id="rId51" display="10.1038/sj.cdd.4402028"/>
    <hyperlink ref="G54" r:id="rId52" display="10.1007/s12551-017-0308-0"/>
    <hyperlink ref="G55" r:id="rId53" display="10.1186/s13018-023-03815-4"/>
    <hyperlink ref="G56" r:id="rId54" display="10.1002/art.38868"/>
    <hyperlink ref="G57" r:id="rId55" display="10.1038/s12276-022-00829-6"/>
    <hyperlink ref="G58" r:id="rId56" display="10.1111/j.1476-5381.2009.00143.x"/>
    <hyperlink ref="G59" r:id="rId57" display="10.1038/s12276-024-01168-4"/>
    <hyperlink ref="G60" r:id="rId58" display="10.1038/srep29916"/>
    <hyperlink ref="G61" r:id="rId59" display="10.3389/fphar.2024.1476255"/>
    <hyperlink ref="G62" r:id="rId60" display="10.1186/s13075-018-1723-8"/>
    <hyperlink ref="G63" r:id="rId61" display="10.1242/jcs.100107"/>
    <hyperlink ref="G64" r:id="rId62" display="10.1002/art.24073"/>
    <hyperlink ref="G65" r:id="rId63" display="10.1038/nm.2146"/>
    <hyperlink ref="G66" r:id="rId64" display="10.1083/jcb.200211089"/>
    <hyperlink ref="G67" r:id="rId65" display="10.1371/journal.pgen.1002356"/>
    <hyperlink ref="G68" r:id="rId66" display="10.1074/jbc.m411793200"/>
    <hyperlink ref="G69" r:id="rId67" display="10.3892/ijmm.2021.4956"/>
    <hyperlink ref="G70" r:id="rId68" display="10.3390/ijms241210004"/>
    <hyperlink ref="G71" r:id="rId69" display="10.1186/s12950-024-00398-7"/>
    <hyperlink ref="G72" r:id="rId70" display="10.1371/journal.pgen.1002356"/>
    <hyperlink ref="G73" r:id="rId71" display="10.1016/j.bbrc.2017.05.086"/>
    <hyperlink ref="G74" r:id="rId72" display="10.1111/jcmm.18048"/>
    <hyperlink ref="G75" r:id="rId73" display="10.1016/j.matbio.2020.09.003"/>
    <hyperlink ref="G76" r:id="rId74" display="10.1016/j.gene.2019.04.020"/>
    <hyperlink ref="G77" r:id="rId75" display="10.1186/s12967-016-0833-9"/>
    <hyperlink ref="G79" r:id="rId76" display="10.1083/jcb.200111073"/>
    <hyperlink ref="G80" r:id="rId77" display="10.1083/jcb.200805048"/>
    <hyperlink ref="G81" r:id="rId78" display="10.1371/journal.pone.0082045"/>
    <hyperlink ref="G82" r:id="rId79" display="10.1371/journal.pone.0082045"/>
    <hyperlink ref="G83" r:id="rId80" display="10.1124/mol.109.056473"/>
    <hyperlink ref="G84" r:id="rId81" display="10.1046/j.1471-4159.2001.00495.x"/>
    <hyperlink ref="G85" r:id="rId82" display="10.1074/jbc.m115.702571; 10.1074/jbc.a115.702571"/>
    <hyperlink ref="G86" r:id="rId83" display="10.1016/j.joca.2008.04.027"/>
    <hyperlink ref="G87" r:id="rId84" display="10.1074/jbc.m115.702571; 10.1074/jbc.a115.702571"/>
    <hyperlink ref="G88" r:id="rId85" display="10.1016/j.joca.2008.04.027"/>
    <hyperlink ref="G89" r:id="rId86" display="10.1038/emm.2000.18"/>
    <hyperlink ref="G90" r:id="rId87" display="10.1073/pnas.0808249105"/>
    <hyperlink ref="G91" r:id="rId88" display="10.1016/j.jot.2025.01.013"/>
    <hyperlink ref="G92" r:id="rId89" display="10.1359/jbmr.070322"/>
    <hyperlink ref="G93" r:id="rId90" display="10.1038/sj.onc.1203362"/>
    <hyperlink ref="G94" r:id="rId91" display="10.1097/01.brs.0000159096.11248.6d"/>
    <hyperlink ref="G95" r:id="rId92" display="10.1097/01.brs.0000159096.11248.6d"/>
    <hyperlink ref="G96" r:id="rId93" display="10.1074/jbc.m201283200"/>
    <hyperlink ref="G97" r:id="rId94" display="10.1038/srep23258"/>
    <hyperlink ref="G98" r:id="rId95" display="10.1007/s10753-022-01770-6"/>
    <hyperlink ref="G99" r:id="rId96" display="10.1074/jbc.m201283200"/>
    <hyperlink ref="G100" r:id="rId97" display="10.1038/srep23258"/>
    <hyperlink ref="G102" r:id="rId98" display="10.1101/gad.1482906"/>
    <hyperlink ref="G103" r:id="rId99" display="10.1002/lary.20157"/>
    <hyperlink ref="G104" r:id="rId100" display="10.1074/jbc.m608995200"/>
    <hyperlink ref="G106" r:id="rId101" display="10.1007/bf00229313"/>
    <hyperlink ref="G107" r:id="rId102" display="10.1182/blood-2005-09-3541"/>
    <hyperlink ref="G108" r:id="rId103" display="10.1042/cs20150622"/>
    <hyperlink ref="G109" r:id="rId104" display="10.1016/j.intimp.2019.04.012"/>
    <hyperlink ref="G110" r:id="rId105" display="10.1002/art.38791"/>
    <hyperlink ref="G111" r:id="rId106" display="10.1074/jbc.m508510200"/>
    <hyperlink ref="G112" r:id="rId107" display="10.1016/j.cell.2006.03.046"/>
    <hyperlink ref="G113" r:id="rId108" display="10.1074/jbc.m111.284224"/>
    <hyperlink ref="G115" r:id="rId109" display="10.1038/ncb1676"/>
    <hyperlink ref="G116" r:id="rId110" display="10.1126/science.1068712"/>
    <hyperlink ref="G117" r:id="rId111" display="10.1002/art.23504"/>
    <hyperlink ref="G118" r:id="rId112" display="10.1016/j.ydbio.2010.02.024"/>
    <hyperlink ref="G119" r:id="rId113" display="10.1016/j.ydbio.2010.02.024"/>
    <hyperlink ref="G120" r:id="rId114" display="10.1101/gad.1230704"/>
    <hyperlink ref="G121" r:id="rId115" display="10.3390/ijms222011082"/>
    <hyperlink ref="G122" r:id="rId116" display="10.1002/art.38868"/>
    <hyperlink ref="G123" r:id="rId117" display="10.1038/s12276-022-00829-6"/>
    <hyperlink ref="G124" r:id="rId118" display="10.1038/s41419-019-2202-0"/>
    <hyperlink ref="G126" r:id="rId119" display="10.1016/j.joca.2008.04.006"/>
    <hyperlink ref="G127" r:id="rId120" display="10.1074/jbc.m112.365882"/>
    <hyperlink ref="G128" r:id="rId121" display="10.1038/onc.2014.164"/>
    <hyperlink ref="G129" r:id="rId122" display="10.1186/ar1765"/>
    <hyperlink ref="G130" r:id="rId123" display="10.1128/mcb.00015-07"/>
    <hyperlink ref="G131" r:id="rId124" display="10.21037/atm-21-2701"/>
    <hyperlink ref="G132" r:id="rId125" display="10.1186/s11658-023-00489-y"/>
    <hyperlink ref="G133" r:id="rId126" display="10.1016/j.joca.2014.06.031"/>
    <hyperlink ref="G135" r:id="rId127" display="10.1016/j.jot.2023.03.002"/>
    <hyperlink ref="G136" r:id="rId128" display="10.1371/journal.pone.0039679"/>
    <hyperlink ref="G137" r:id="rId129" display="10.1126/science.1165946"/>
    <hyperlink ref="G138" r:id="rId130" display="10.15252/embj.201489062"/>
    <hyperlink ref="G139" r:id="rId131" display="10.1002/jcb.1163"/>
    <hyperlink ref="G140" r:id="rId132" display="10.1002/humu.9503"/>
    <hyperlink ref="G141" r:id="rId133" display="10.1074/jbc.271.7.3355"/>
    <hyperlink ref="G142" r:id="rId134" display="10.1172/jci.insight.131382"/>
    <hyperlink ref="G143" r:id="rId135" display="10.1002/jcb.25099"/>
    <hyperlink ref="G144" r:id="rId136" display="10.1128/mcb.00409-10"/>
    <hyperlink ref="G145" r:id="rId137" display="10.1016/s0022-2836(02)01404-3"/>
    <hyperlink ref="G146" r:id="rId138" display="10.1038/s41598-017-17289-y"/>
    <hyperlink ref="G148" r:id="rId139" display="10.1038/s41388-018-0417-7"/>
    <hyperlink ref="G149" r:id="rId140" display="10.1016/j.intimp.2019.04.012"/>
    <hyperlink ref="G150" r:id="rId141" display="10.1186/s12967-016-0833-9"/>
    <hyperlink ref="G152" r:id="rId142" display="10.1038/s41388-018-0417-7"/>
    <hyperlink ref="G153" r:id="rId143" display="10.1186/s12950-024-00398-7"/>
    <hyperlink ref="G154" r:id="rId144" display="10.1016/j.joca.2015.02.168"/>
    <hyperlink ref="G158" r:id="rId145" display="10.1016/j.jot.2023.03.002"/>
    <hyperlink ref="G159" r:id="rId146" display="10.1038/emm.2000.18"/>
    <hyperlink ref="G160" r:id="rId147" display="10.1046/j.1471-4159.2000.0750788.x"/>
    <hyperlink ref="G161" r:id="rId148" display="10.1016/j.bbamcr.2008.12.003"/>
    <hyperlink ref="G163" r:id="rId149" display="10.3724/abbs.2024027"/>
    <hyperlink ref="G164" r:id="rId150" display="10.1074/jbc.m109690200"/>
    <hyperlink ref="G165" r:id="rId151" display="10.3389/fcell.2024.1423665"/>
    <hyperlink ref="G166" r:id="rId152" display="10.1080/03008207.2020.1736578"/>
    <hyperlink ref="G167" r:id="rId153" display="10.3892/ijmm.2018.3921"/>
    <hyperlink ref="G168" r:id="rId154" display="10.1016/j.cell.2012.06.037; 10.1016/j.cell.2024.02.007"/>
    <hyperlink ref="G169" r:id="rId155" display="10.1016/j.cell.2012.06.037; 10.1016/j.cell.2024.02.007"/>
    <hyperlink ref="G170" r:id="rId156" display="10.1073/pnas.090491897; 10.1074/jbc.275.5.3577"/>
    <hyperlink ref="G171" r:id="rId157" display="10.3390/ijms15011176"/>
    <hyperlink ref="G172" r:id="rId158" display="10.3390/ijms15011176"/>
    <hyperlink ref="G173" r:id="rId159" display="10.3389/fphar.2017.00756"/>
    <hyperlink ref="G174" r:id="rId160" display="10.1042/bcj20190410"/>
    <hyperlink ref="G175" r:id="rId161" display="10.1016/j.ajpath.2024.05.004"/>
    <hyperlink ref="G176" r:id="rId162" display="10.3389/fcell.2023.1324561"/>
    <hyperlink ref="G177" r:id="rId163" display="10.3389/fcell.2023.1324561"/>
    <hyperlink ref="G178" r:id="rId164" display="10.1111/cpr.13438"/>
    <hyperlink ref="G179" r:id="rId165" display="10.3389/fcell.2024.1423665"/>
    <hyperlink ref="G180" r:id="rId166" display="10.1002/1529-0131(200110)44:10&lt;2296::aid-art392&gt;3.0.co;2-9"/>
    <hyperlink ref="G182" r:id="rId167" display="10.2147/jir.s444758"/>
    <hyperlink ref="G183" r:id="rId168" display="10.2147/dddt.s203974"/>
    <hyperlink ref="G184" r:id="rId169" display="10.1038/s41598-017-17289-y"/>
    <hyperlink ref="G185" r:id="rId170" display="10.1016/j.lfs.2019.116565"/>
    <hyperlink ref="G186" r:id="rId171" display="10.1080/03008207.2021.1952193"/>
    <hyperlink ref="G188" r:id="rId172" display="10.1002/path.2578"/>
    <hyperlink ref="G189" r:id="rId173" display="10.2460/ajvr.73.10.1553"/>
    <hyperlink ref="G190" r:id="rId174" display="10.2147/jir.s444758"/>
    <hyperlink ref="G191" r:id="rId175" display="10.2147/dddt.s203974"/>
    <hyperlink ref="G192" r:id="rId176" display="10.1038/s41598-017-17289-y"/>
    <hyperlink ref="G194" r:id="rId177" display="10.2147/jir.s444758"/>
    <hyperlink ref="G195" r:id="rId178" display="10.2147/dddt.s203974"/>
    <hyperlink ref="G196" r:id="rId179" display="10.1038/sj.cdd.4401963"/>
    <hyperlink ref="G197" r:id="rId180" display="10.1038/cdd.2017.186"/>
    <hyperlink ref="G198" r:id="rId181" display="10.1242/jcs.001586"/>
    <hyperlink ref="G199" r:id="rId182" display="10.1080/03008207.2021.1952193"/>
    <hyperlink ref="G200" r:id="rId183" display="10.1101/gad.219402.113"/>
    <hyperlink ref="G201" r:id="rId184" display="10.1152/physrev.00026.2020"/>
    <hyperlink ref="G202" r:id="rId185" display="10.1152/physrev.00026.2020"/>
    <hyperlink ref="G203" r:id="rId186" display="10.1073/pnas.0600678103"/>
    <hyperlink ref="G204" r:id="rId187" display="10.1016/j.cub.2005.02.053"/>
    <hyperlink ref="G205" r:id="rId188" display="10.1159/000493225"/>
    <hyperlink ref="G206" r:id="rId189" display="10.1002/stem.1476"/>
    <hyperlink ref="G207" r:id="rId190" display="10.18632/oncotarget.18628"/>
    <hyperlink ref="G208" r:id="rId191" display="10.1128/mcb.00601-09"/>
    <hyperlink ref="G209" r:id="rId192" display="10.3892/ijmm.2017.3005"/>
    <hyperlink ref="G210" r:id="rId193" display="10.1159/000489804"/>
    <hyperlink ref="G211" r:id="rId194" display="10.3724/abbs.2024027"/>
    <hyperlink ref="G213" r:id="rId195" display="10.1155/2022/5635797; 10.1038/s41419-019-1701-3"/>
    <hyperlink ref="G214" r:id="rId196" display="10.1016/j.ijcard.2021.08.007"/>
    <hyperlink ref="G215" r:id="rId197" display="10.1128/mcb.01204-10"/>
    <hyperlink ref="G216" r:id="rId198" display="10.1074/jbc.m109690200"/>
    <hyperlink ref="G217" r:id="rId199" display="10.1111/cpr.13438"/>
    <hyperlink ref="G218" r:id="rId200" display="10.22203/ecm.v030a07"/>
    <hyperlink ref="G220" r:id="rId201" display="10.1016/j.mad.2022.111715"/>
    <hyperlink ref="G221" r:id="rId202" display="10.1016/j.mad.2022.111715"/>
    <hyperlink ref="G222" r:id="rId203" display="10.1007/s00018-023-05094-y; 10.1007/s00018-025-05824-4"/>
    <hyperlink ref="G223" r:id="rId204" display="10.1007/s00018-023-05094-y; 10.1007/s00018-025-05824-4"/>
    <hyperlink ref="G225" r:id="rId205" display="10.1074/jbc.273.3.1733"/>
    <hyperlink ref="G226" r:id="rId206" display="10.1074/jbc.m111.334466"/>
    <hyperlink ref="G227" r:id="rId207" display="10.1097/brs.0000000000001220"/>
    <hyperlink ref="G228" r:id="rId208" display="10.1097/brs.0000000000001220"/>
    <hyperlink ref="G229" r:id="rId209" display="10.1002/jcb.27683"/>
    <hyperlink ref="G230" r:id="rId210" display="10.1042/cs20258735"/>
    <hyperlink ref="G231" r:id="rId211" display="10.1038/s41392-021-00828-5"/>
    <hyperlink ref="G232" r:id="rId212" display="10.1074/jbc.273.22.13375"/>
    <hyperlink ref="G233" r:id="rId213" display="10.1038/s41392-021-00828-5"/>
    <hyperlink ref="G234" r:id="rId214" display="10.1074/jbc.m608086200"/>
    <hyperlink ref="G235" r:id="rId215" display="10.1074/jbc.m208300200"/>
    <hyperlink ref="G236" r:id="rId216" display="10.1074/jbc.m608086200"/>
    <hyperlink ref="G237" r:id="rId217" display="10.1074/jbc.m208300200"/>
    <hyperlink ref="G238" r:id="rId218" display="10.1126/science.271.5249.645"/>
    <hyperlink ref="G240" r:id="rId219" display="10.1194/jlr.m700419-jlr200"/>
    <hyperlink ref="G241" r:id="rId220" display="10.1194/jlr.m700419-jlr200"/>
    <hyperlink ref="G242" r:id="rId221" display="10.1074/jbc.271.44.27723"/>
    <hyperlink ref="G243" r:id="rId222" display="10.1093/emboj/17.2.414"/>
    <hyperlink ref="G244" r:id="rId223" display="10.1093/emboj/17.2.414"/>
    <hyperlink ref="G245" r:id="rId224" display="10.1074/jbc.m311033200"/>
    <hyperlink ref="G246" r:id="rId225" display="10.1074/jbc.m311033200"/>
    <hyperlink ref="G247" r:id="rId226" display="10.1002/jcb.20351"/>
    <hyperlink ref="G248" r:id="rId227" display="10.1002/jcb.20351"/>
    <hyperlink ref="G249" r:id="rId228" display="10.1016/j.molcel.2010.07.022"/>
    <hyperlink ref="G250" r:id="rId229" display="10.1186/s12951-023-02075-y"/>
    <hyperlink ref="G251" r:id="rId230" display="10.1002/art.38791"/>
    <hyperlink ref="G252" r:id="rId231" display="10.1164/rccm.200907-1047oc"/>
    <hyperlink ref="G254" r:id="rId232" display="10.1186/ar2151"/>
    <hyperlink ref="G255" r:id="rId233" display="10.4049/jimmunol.1402554"/>
    <hyperlink ref="G256" r:id="rId234" display="10.1016/s0960-9822(01)00225-1"/>
    <hyperlink ref="G257" r:id="rId235" display="10.1089/scd.2010.0465"/>
    <hyperlink ref="G258" r:id="rId236" display="10.1091/mbc.e06-03-0207"/>
    <hyperlink ref="G259" r:id="rId237" display="10.1186/bcr922"/>
    <hyperlink ref="G260" r:id="rId238" display="10.1091/mbc.e06-03-0207"/>
    <hyperlink ref="G261" r:id="rId239" display="10.1186/bcr922"/>
    <hyperlink ref="G262" r:id="rId240" display="10.3389/fcell.2023.1324561"/>
    <hyperlink ref="G263" r:id="rId241" display="10.3389/fcell.2023.1324561"/>
    <hyperlink ref="G264" r:id="rId242" display="10.1038/372786a0"/>
    <hyperlink ref="G265" r:id="rId243" display="10.1038/372786a0"/>
    <hyperlink ref="G268" r:id="rId244" display="10.1152/physrev.00026.2020"/>
    <hyperlink ref="G270" r:id="rId245" display="10.1016/j.cell.2006.06.055"/>
    <hyperlink ref="G271" r:id="rId246" display="10.1016/j.ceb.2009.05.006"/>
    <hyperlink ref="G272" r:id="rId247" display="10.1016/j.ceb.2009.05.006"/>
    <hyperlink ref="G273" r:id="rId248" display="10.1038/s12276-021-00716-6"/>
    <hyperlink ref="G274" r:id="rId249" display="10.1038/s12276-021-00716-6"/>
    <hyperlink ref="G275" r:id="rId250" display="10.3233/jad-2010-100465"/>
    <hyperlink ref="G276" r:id="rId251" display="10.1016/j.cellsig.2026.112769"/>
    <hyperlink ref="G277" r:id="rId252" display="10.1073/pnas.2209184120"/>
    <hyperlink ref="G278" r:id="rId253" display="10.1002/advs.202105466"/>
    <hyperlink ref="G279" r:id="rId254" display="10.3390/ijms20040972"/>
    <hyperlink ref="G281" r:id="rId255" display="10.1002/jbmr.561; 10.1002/jbmr.4300"/>
    <hyperlink ref="G282" r:id="rId256" display="10.1002/jbmr.561; 10.1002/jbmr.4300"/>
    <hyperlink ref="G283" r:id="rId257" display="10.1002/jbmr.174"/>
    <hyperlink ref="G284" r:id="rId258" display="10.3892/etm.2022.11193"/>
    <hyperlink ref="G285" r:id="rId259" display="10.1172/jci.insight.131382"/>
    <hyperlink ref="G286" r:id="rId260" display="10.1038/s12276-022-00829-6"/>
    <hyperlink ref="G287" r:id="rId261" display="10.1002/jor.23583"/>
    <hyperlink ref="G288" r:id="rId262" display="10.1038/s12276-022-00829-6"/>
    <hyperlink ref="G289" r:id="rId263" display="10.1083/jcb.200312045"/>
    <hyperlink ref="G290" r:id="rId264" display="10.1083/jcb.200312045"/>
    <hyperlink ref="G291" r:id="rId265" display="10.1002/jcp.21904"/>
    <hyperlink ref="G292" r:id="rId266" display="10.1016/j.cellsig.2013.12.001"/>
    <hyperlink ref="G293" r:id="rId267" display="10.3390/ijms222111355"/>
    <hyperlink ref="G294" r:id="rId268" display="10.1002/art.25051"/>
    <hyperlink ref="G295" r:id="rId269" display="10.1074/jbc.m411793200"/>
    <hyperlink ref="G297" r:id="rId270" display="10.1210/me.2010-0037"/>
    <hyperlink ref="G298" r:id="rId271" display="10.1074/jbc.m604322200"/>
    <hyperlink ref="G299" r:id="rId272" display="10.1128/mcb.23.1.131-139.2003"/>
    <hyperlink ref="G300" r:id="rId273" display="10.1016/j.fob.2015.06.001"/>
    <hyperlink ref="G301" r:id="rId274" display="10.1172/jci.insight.131382"/>
    <hyperlink ref="G302" r:id="rId275" display="10.1097/brs.0000000000001235"/>
    <hyperlink ref="G303" r:id="rId276" display="10.1097/brs.0000000000001235"/>
    <hyperlink ref="G304" r:id="rId277" display="10.1093/cvr/cvu053"/>
    <hyperlink ref="G305" r:id="rId278" display="10.1161/atvbaha.117.310502"/>
    <hyperlink ref="G306" r:id="rId279" display="10.1053/joca.2002.0827"/>
    <hyperlink ref="G308" r:id="rId280" display="10.1101/gad.543109"/>
    <hyperlink ref="G309" r:id="rId281" display="10.1038/s41598-017-17289-y"/>
    <hyperlink ref="G311" r:id="rId282" display="10.1016/j.joca.2016.02.003"/>
    <hyperlink ref="G312" r:id="rId283" display="10.1359/jbmr.070322"/>
    <hyperlink ref="G313" r:id="rId284" display="10.1359/jbmr.070322"/>
    <hyperlink ref="G314" r:id="rId285" display="10.1359/jbmr.070322"/>
    <hyperlink ref="G315" r:id="rId286" display="10.1152/ajprenal.00591.2012"/>
    <hyperlink ref="G316" r:id="rId287" display="10.1073/pnas.1319569111"/>
    <hyperlink ref="G317" r:id="rId288" display="10.1159/000493225"/>
    <hyperlink ref="G318" r:id="rId289" display="10.1091/mbc.e08-12-1248"/>
    <hyperlink ref="G319" r:id="rId290" display="10.1002/art.24073"/>
    <hyperlink ref="G320" r:id="rId291" display="10.1002/art.24073"/>
    <hyperlink ref="G321" r:id="rId292" display="10.1186/s13075-014-0416-1"/>
    <hyperlink ref="G322" r:id="rId293" display="10.1074/jbc.m112.440552"/>
    <hyperlink ref="G323" r:id="rId294" display="10.1016/j.bbamcr.2023.119573"/>
    <hyperlink ref="G325" r:id="rId295" display="10.1016/j.cell.2015.07.013"/>
    <hyperlink ref="G326" r:id="rId296" display="10.1074/jbc.m107977200"/>
    <hyperlink ref="G327" r:id="rId297" display="10.1074/jbc.m808048200"/>
    <hyperlink ref="G329" r:id="rId298" display="10.1016/j.cell.2015.07.013"/>
    <hyperlink ref="G330" r:id="rId299" display="10.1074/jbc.m706638200"/>
    <hyperlink ref="G331" r:id="rId300" display="10.1096/fj.201802725rrr"/>
    <hyperlink ref="G332" r:id="rId301" display="10.1096/fj.201802725rrr"/>
    <hyperlink ref="G333" r:id="rId302" display="10.1111/cpr.12492"/>
    <hyperlink ref="G334" r:id="rId303" display="10.1016/j.spinee.2014.12.143"/>
    <hyperlink ref="G335" r:id="rId304" display="10.1111/j.1582-4934.2012.01553.x"/>
    <hyperlink ref="G336" r:id="rId305" display="10.1007/s00441-003-0836-8"/>
    <hyperlink ref="G337" r:id="rId306" display="10.1111/j.1582-4934.2012.01553.x"/>
    <hyperlink ref="G338" r:id="rId307" display="10.1002/cbin.11293"/>
    <hyperlink ref="G339" r:id="rId308" display="10.1091/mbc.e04-12-1082"/>
    <hyperlink ref="G340" r:id="rId309" display="10.1038/boneres.2017.8"/>
    <hyperlink ref="G341" r:id="rId310" display="10.1111/j.1067-1927.2005.130206.x"/>
    <hyperlink ref="G342" r:id="rId311" display="10.1152/ajpcell.00355.2021"/>
    <hyperlink ref="G343" r:id="rId312" display="10.1152/ajpcell.00355.2021"/>
    <hyperlink ref="G344" r:id="rId313" display="10.1016/j.cell.2015.07.013"/>
    <hyperlink ref="G345" r:id="rId314" display="10.1016/s0006-291x(02)00485-0"/>
    <hyperlink ref="G346" r:id="rId315" display="10.1074/jbc.m808048200"/>
    <hyperlink ref="G347" r:id="rId316" display="10.1155/2022/7655142"/>
    <hyperlink ref="G348" r:id="rId317" display="10.1016/j.bbrc.2024.150371"/>
    <hyperlink ref="G349" r:id="rId318" display="10.1074/jbc.m805711200"/>
    <hyperlink ref="G350" r:id="rId319" display="10.1038/s41419-025-08002-3"/>
    <hyperlink ref="G351" r:id="rId320" display="10.1096/fj.13-243741"/>
    <hyperlink ref="G352" r:id="rId321" display="10.1038/s41419-025-08002-3"/>
    <hyperlink ref="G353" r:id="rId322" display="10.1096/fj.13-243741"/>
    <hyperlink ref="G354" r:id="rId323" display="10.1007/s00264-013-2144-6"/>
  </hyperlinks>
  <printOptions headings="false" gridLines="false" gridLinesSet="true" horizontalCentered="true" verticalCentered="false"/>
  <pageMargins left="0.4" right="0.4"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legacyDrawing r:id="rId324"/>
  <tableParts>
    <tablePart r:id="rId325"/>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F9D69"/>
    <pageSetUpPr fitToPage="true"/>
  </sheetPr>
  <dimension ref="A1:D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62"/>
    <col collapsed="false" customWidth="true" hidden="false" outlineLevel="0" max="5" min="2" style="0" width="19"/>
  </cols>
  <sheetData>
    <row r="1" customFormat="false" ht="19.7" hidden="false" customHeight="false" outlineLevel="0" collapsed="false">
      <c r="A1" s="11" t="s">
        <v>1672</v>
      </c>
    </row>
    <row r="2" customFormat="false" ht="15" hidden="false" customHeight="false" outlineLevel="0" collapsed="false">
      <c r="A2" s="12" t="s">
        <v>1673</v>
      </c>
    </row>
    <row r="4" customFormat="false" ht="15" hidden="false" customHeight="false" outlineLevel="0" collapsed="false">
      <c r="A4" s="13" t="s">
        <v>1674</v>
      </c>
    </row>
    <row r="5" customFormat="false" ht="15" hidden="false" customHeight="false" outlineLevel="0" collapsed="false">
      <c r="A5" s="14" t="s">
        <v>5</v>
      </c>
      <c r="B5" s="15" t="n">
        <f aca="false">COUNTA(Interactions!$A$2:$A$354)</f>
        <v>353</v>
      </c>
    </row>
    <row r="6" customFormat="false" ht="15" hidden="false" customHeight="false" outlineLevel="0" collapsed="false">
      <c r="A6" s="14" t="s">
        <v>1675</v>
      </c>
      <c r="B6" s="15" t="n">
        <f aca="false">COUNTIF(Interactions!$C$2:$C$354,"activation")</f>
        <v>277</v>
      </c>
    </row>
    <row r="7" customFormat="false" ht="15" hidden="false" customHeight="false" outlineLevel="0" collapsed="false">
      <c r="A7" s="14" t="s">
        <v>1676</v>
      </c>
      <c r="B7" s="15" t="n">
        <f aca="false">COUNTIF(Interactions!$C$2:$C$354,"inhibition")</f>
        <v>76</v>
      </c>
    </row>
    <row r="8" customFormat="false" ht="15" hidden="false" customHeight="false" outlineLevel="0" collapsed="false">
      <c r="A8" s="14" t="s">
        <v>1677</v>
      </c>
      <c r="B8" s="15" t="n">
        <f aca="false">COUNTIF(Interactions!$G$2:$G$354,"?*")</f>
        <v>322</v>
      </c>
    </row>
    <row r="9" customFormat="false" ht="15" hidden="false" customHeight="false" outlineLevel="0" collapsed="false">
      <c r="A9" s="14" t="s">
        <v>1678</v>
      </c>
      <c r="B9" s="15" t="n">
        <f aca="false">COUNTIF(Interactions!$L$2:$L$354,"?*")</f>
        <v>37</v>
      </c>
    </row>
    <row r="10" customFormat="false" ht="15" hidden="false" customHeight="false" outlineLevel="0" collapsed="false">
      <c r="A10" s="14" t="s">
        <v>1679</v>
      </c>
      <c r="B10" s="15" t="n">
        <f aca="false">COUNTIF(Interactions!$M$2:$M$354,"NOTICE*")</f>
        <v>0</v>
      </c>
    </row>
    <row r="11" customFormat="false" ht="15" hidden="false" customHeight="false" outlineLevel="0" collapsed="false">
      <c r="A11" s="14" t="s">
        <v>1680</v>
      </c>
      <c r="B11" s="15" t="n">
        <f aca="false">COUNTIF(Interactions!$N$2:$N$354,"?*")</f>
        <v>5</v>
      </c>
    </row>
    <row r="12" customFormat="false" ht="15" hidden="false" customHeight="false" outlineLevel="0" collapsed="false">
      <c r="A12" s="14" t="s">
        <v>1681</v>
      </c>
      <c r="B12" s="15" t="n">
        <v>235</v>
      </c>
    </row>
    <row r="14" customFormat="false" ht="15" hidden="false" customHeight="false" outlineLevel="0" collapsed="false">
      <c r="A14" s="13" t="s">
        <v>1682</v>
      </c>
    </row>
    <row r="15" customFormat="false" ht="15" hidden="false" customHeight="false" outlineLevel="0" collapsed="false">
      <c r="A15" s="16" t="s">
        <v>44</v>
      </c>
      <c r="B15" s="16" t="s">
        <v>5</v>
      </c>
      <c r="C15" s="16" t="s">
        <v>1683</v>
      </c>
    </row>
    <row r="16" customFormat="false" ht="15" hidden="false" customHeight="false" outlineLevel="0" collapsed="false">
      <c r="A16" s="14" t="s">
        <v>82</v>
      </c>
      <c r="B16" s="14" t="n">
        <f aca="false">COUNTIF(Interactions!$I$2:$I$354,A16)</f>
        <v>108</v>
      </c>
      <c r="C16" s="17" t="n">
        <f aca="false">B16/$B$19</f>
        <v>0.305949008498584</v>
      </c>
    </row>
    <row r="17" customFormat="false" ht="15" hidden="false" customHeight="false" outlineLevel="0" collapsed="false">
      <c r="A17" s="14" t="s">
        <v>138</v>
      </c>
      <c r="B17" s="14" t="n">
        <f aca="false">COUNTIF(Interactions!$I$2:$I$354,A17)</f>
        <v>75</v>
      </c>
      <c r="C17" s="17" t="n">
        <f aca="false">B17/$B$19</f>
        <v>0.212464589235127</v>
      </c>
    </row>
    <row r="18" customFormat="false" ht="15" hidden="false" customHeight="false" outlineLevel="0" collapsed="false">
      <c r="A18" s="14" t="s">
        <v>158</v>
      </c>
      <c r="B18" s="14" t="n">
        <f aca="false">COUNTIF(Interactions!$I$2:$I$354,A18)</f>
        <v>170</v>
      </c>
      <c r="C18" s="17" t="n">
        <f aca="false">B18/$B$19</f>
        <v>0.481586402266289</v>
      </c>
    </row>
    <row r="19" customFormat="false" ht="15" hidden="false" customHeight="false" outlineLevel="0" collapsed="false">
      <c r="A19" s="18" t="s">
        <v>1684</v>
      </c>
      <c r="B19" s="18" t="n">
        <f aca="false">SUM(B16:B18)</f>
        <v>353</v>
      </c>
      <c r="C19" s="19" t="n">
        <f aca="false">B19/B19</f>
        <v>1</v>
      </c>
    </row>
    <row r="22" customFormat="false" ht="15" hidden="false" customHeight="false" outlineLevel="0" collapsed="false">
      <c r="A22" s="13" t="s">
        <v>1685</v>
      </c>
    </row>
    <row r="23" customFormat="false" ht="15" hidden="false" customHeight="false" outlineLevel="0" collapsed="false">
      <c r="A23" s="16" t="s">
        <v>46</v>
      </c>
      <c r="B23" s="16" t="s">
        <v>5</v>
      </c>
      <c r="C23" s="16" t="s">
        <v>1683</v>
      </c>
    </row>
    <row r="24" customFormat="false" ht="15" hidden="false" customHeight="false" outlineLevel="0" collapsed="false">
      <c r="A24" s="14" t="s">
        <v>83</v>
      </c>
      <c r="B24" s="14" t="n">
        <f aca="false">COUNTIF(Interactions!$J$2:$J$354,A24)</f>
        <v>114</v>
      </c>
      <c r="C24" s="17" t="n">
        <f aca="false">B24/$B$27</f>
        <v>0.322946175637394</v>
      </c>
    </row>
    <row r="25" customFormat="false" ht="15" hidden="false" customHeight="false" outlineLevel="0" collapsed="false">
      <c r="A25" s="14" t="s">
        <v>106</v>
      </c>
      <c r="B25" s="14" t="n">
        <f aca="false">COUNTIF(Interactions!$J$2:$J$354,A25)</f>
        <v>75</v>
      </c>
      <c r="C25" s="17" t="n">
        <f aca="false">B25/$B$27</f>
        <v>0.212464589235127</v>
      </c>
    </row>
    <row r="26" customFormat="false" ht="15" hidden="false" customHeight="false" outlineLevel="0" collapsed="false">
      <c r="A26" s="14" t="s">
        <v>159</v>
      </c>
      <c r="B26" s="14" t="n">
        <f aca="false">COUNTIF(Interactions!$J$2:$J$354,A26)</f>
        <v>164</v>
      </c>
      <c r="C26" s="17" t="n">
        <f aca="false">B26/$B$27</f>
        <v>0.464589235127479</v>
      </c>
    </row>
    <row r="27" customFormat="false" ht="15" hidden="false" customHeight="false" outlineLevel="0" collapsed="false">
      <c r="A27" s="18" t="s">
        <v>1684</v>
      </c>
      <c r="B27" s="18" t="n">
        <f aca="false">SUM(B24:B26)</f>
        <v>353</v>
      </c>
      <c r="C27" s="19" t="n">
        <f aca="false">B27/B27</f>
        <v>1</v>
      </c>
    </row>
    <row r="30" customFormat="false" ht="15" hidden="false" customHeight="false" outlineLevel="0" collapsed="false">
      <c r="A30" s="13" t="s">
        <v>1686</v>
      </c>
    </row>
    <row r="31" customFormat="false" ht="15" hidden="false" customHeight="false" outlineLevel="0" collapsed="false">
      <c r="A31" s="16" t="s">
        <v>48</v>
      </c>
      <c r="B31" s="16" t="s">
        <v>5</v>
      </c>
      <c r="C31" s="16" t="s">
        <v>1683</v>
      </c>
    </row>
    <row r="32" customFormat="false" ht="15" hidden="false" customHeight="false" outlineLevel="0" collapsed="false">
      <c r="A32" s="14" t="s">
        <v>84</v>
      </c>
      <c r="B32" s="14" t="n">
        <f aca="false">COUNTIF(Interactions!$K$2:$K$354,A32)</f>
        <v>166</v>
      </c>
      <c r="C32" s="17" t="n">
        <f aca="false">B32/$B$37</f>
        <v>0.470254957507082</v>
      </c>
    </row>
    <row r="33" customFormat="false" ht="15" hidden="false" customHeight="false" outlineLevel="0" collapsed="false">
      <c r="A33" s="14" t="s">
        <v>499</v>
      </c>
      <c r="B33" s="14" t="n">
        <f aca="false">COUNTIF(Interactions!$K$2:$K$354,A33)</f>
        <v>16</v>
      </c>
      <c r="C33" s="17" t="n">
        <f aca="false">B33/$B$37</f>
        <v>0.0453257790368272</v>
      </c>
    </row>
    <row r="34" customFormat="false" ht="15" hidden="false" customHeight="false" outlineLevel="0" collapsed="false">
      <c r="A34" s="14" t="s">
        <v>276</v>
      </c>
      <c r="B34" s="14" t="n">
        <f aca="false">COUNTIF(Interactions!$K$2:$K$354,A34)</f>
        <v>7</v>
      </c>
      <c r="C34" s="17" t="n">
        <f aca="false">B34/$B$37</f>
        <v>0.0198300283286119</v>
      </c>
    </row>
    <row r="35" customFormat="false" ht="15" hidden="false" customHeight="false" outlineLevel="0" collapsed="false">
      <c r="A35" s="14" t="s">
        <v>236</v>
      </c>
      <c r="B35" s="14" t="n">
        <f aca="false">COUNTIF(Interactions!$K$2:$K$354,A35)</f>
        <v>10</v>
      </c>
      <c r="C35" s="17" t="n">
        <f aca="false">B35/$B$37</f>
        <v>0.028328611898017</v>
      </c>
    </row>
    <row r="36" customFormat="false" ht="15" hidden="false" customHeight="false" outlineLevel="0" collapsed="false">
      <c r="A36" s="14" t="s">
        <v>160</v>
      </c>
      <c r="B36" s="14" t="n">
        <f aca="false">COUNTIF(Interactions!$K$2:$K$354,A36)</f>
        <v>154</v>
      </c>
      <c r="C36" s="17" t="n">
        <f aca="false">B36/$B$37</f>
        <v>0.436260623229462</v>
      </c>
    </row>
    <row r="37" customFormat="false" ht="15" hidden="false" customHeight="false" outlineLevel="0" collapsed="false">
      <c r="A37" s="18" t="s">
        <v>1684</v>
      </c>
      <c r="B37" s="18" t="n">
        <f aca="false">SUM(B32:B36)</f>
        <v>353</v>
      </c>
      <c r="C37" s="19" t="n">
        <f aca="false">B37/B37</f>
        <v>1</v>
      </c>
    </row>
    <row r="40" customFormat="false" ht="15" hidden="false" customHeight="false" outlineLevel="0" collapsed="false">
      <c r="A40" s="13" t="s">
        <v>1687</v>
      </c>
    </row>
    <row r="41" customFormat="false" ht="15" hidden="false" customHeight="false" outlineLevel="0" collapsed="false">
      <c r="A41" s="16" t="s">
        <v>1688</v>
      </c>
      <c r="B41" s="16" t="s">
        <v>1689</v>
      </c>
      <c r="C41" s="16" t="s">
        <v>1690</v>
      </c>
      <c r="D41" s="16" t="s">
        <v>1691</v>
      </c>
    </row>
    <row r="42" customFormat="false" ht="15" hidden="false" customHeight="false" outlineLevel="0" collapsed="false">
      <c r="A42" s="14" t="s">
        <v>116</v>
      </c>
      <c r="B42" s="14" t="n">
        <f aca="false">COUNTIF(Interactions!$O$2:$O$354,A42)</f>
        <v>0</v>
      </c>
      <c r="C42" s="14" t="n">
        <f aca="false">COUNTIF(Interactions!$P$2:$P$354,A42)</f>
        <v>40</v>
      </c>
      <c r="D42" s="14" t="n">
        <f aca="false">COUNTIFS(Interactions!$O$2:$O$354,A42,Interactions!$P$2:$P$354,A42)</f>
        <v>0</v>
      </c>
    </row>
    <row r="43" customFormat="false" ht="15" hidden="false" customHeight="false" outlineLevel="0" collapsed="false">
      <c r="A43" s="14" t="s">
        <v>311</v>
      </c>
      <c r="B43" s="14" t="n">
        <f aca="false">COUNTIF(Interactions!$O$2:$O$354,A43)</f>
        <v>0</v>
      </c>
      <c r="C43" s="14" t="n">
        <f aca="false">COUNTIF(Interactions!$P$2:$P$354,A43)</f>
        <v>32</v>
      </c>
      <c r="D43" s="14" t="n">
        <f aca="false">COUNTIFS(Interactions!$O$2:$O$354,A43,Interactions!$P$2:$P$354,A43)</f>
        <v>0</v>
      </c>
    </row>
    <row r="44" customFormat="false" ht="15" hidden="false" customHeight="false" outlineLevel="0" collapsed="false">
      <c r="A44" s="14" t="s">
        <v>87</v>
      </c>
      <c r="B44" s="14" t="n">
        <f aca="false">COUNTIF(Interactions!$O$2:$O$354,A44)</f>
        <v>131</v>
      </c>
      <c r="C44" s="14" t="n">
        <f aca="false">COUNTIF(Interactions!$P$2:$P$354,A44)</f>
        <v>64</v>
      </c>
      <c r="D44" s="14" t="n">
        <f aca="false">COUNTIFS(Interactions!$O$2:$O$354,A44,Interactions!$P$2:$P$354,A44)</f>
        <v>12</v>
      </c>
    </row>
    <row r="45" customFormat="false" ht="15" hidden="false" customHeight="false" outlineLevel="0" collapsed="false">
      <c r="A45" s="14" t="s">
        <v>183</v>
      </c>
      <c r="B45" s="14" t="n">
        <f aca="false">COUNTIF(Interactions!$O$2:$O$354,A45)</f>
        <v>20</v>
      </c>
      <c r="C45" s="14" t="n">
        <f aca="false">COUNTIF(Interactions!$P$2:$P$354,A45)</f>
        <v>25</v>
      </c>
      <c r="D45" s="14" t="n">
        <f aca="false">COUNTIFS(Interactions!$O$2:$O$354,A45,Interactions!$P$2:$P$354,A45)</f>
        <v>9</v>
      </c>
    </row>
    <row r="46" customFormat="false" ht="15" hidden="false" customHeight="false" outlineLevel="0" collapsed="false">
      <c r="A46" s="14" t="s">
        <v>151</v>
      </c>
      <c r="B46" s="14" t="n">
        <f aca="false">COUNTIF(Interactions!$O$2:$O$354,A46)</f>
        <v>57</v>
      </c>
      <c r="C46" s="14" t="n">
        <f aca="false">COUNTIF(Interactions!$P$2:$P$354,A46)</f>
        <v>64</v>
      </c>
      <c r="D46" s="14" t="n">
        <f aca="false">COUNTIFS(Interactions!$O$2:$O$354,A46,Interactions!$P$2:$P$354,A46)</f>
        <v>31</v>
      </c>
    </row>
    <row r="47" customFormat="false" ht="15" hidden="false" customHeight="false" outlineLevel="0" collapsed="false">
      <c r="A47" s="14" t="s">
        <v>88</v>
      </c>
      <c r="B47" s="14" t="n">
        <f aca="false">COUNTIF(Interactions!$O$2:$O$354,A47)</f>
        <v>0</v>
      </c>
      <c r="C47" s="14" t="n">
        <f aca="false">COUNTIF(Interactions!$P$2:$P$354,A47)</f>
        <v>19</v>
      </c>
      <c r="D47" s="14" t="n">
        <f aca="false">COUNTIFS(Interactions!$O$2:$O$354,A47,Interactions!$P$2:$P$354,A47)</f>
        <v>0</v>
      </c>
    </row>
    <row r="48" customFormat="false" ht="15" hidden="false" customHeight="false" outlineLevel="0" collapsed="false">
      <c r="A48" s="14" t="s">
        <v>345</v>
      </c>
      <c r="B48" s="14" t="n">
        <f aca="false">COUNTIF(Interactions!$O$2:$O$354,A48)</f>
        <v>27</v>
      </c>
      <c r="C48" s="14" t="n">
        <f aca="false">COUNTIF(Interactions!$P$2:$P$354,A48)</f>
        <v>15</v>
      </c>
      <c r="D48" s="14" t="n">
        <f aca="false">COUNTIFS(Interactions!$O$2:$O$354,A48,Interactions!$P$2:$P$354,A48)</f>
        <v>15</v>
      </c>
    </row>
    <row r="49" customFormat="false" ht="15" hidden="false" customHeight="false" outlineLevel="0" collapsed="false">
      <c r="A49" s="14" t="s">
        <v>285</v>
      </c>
      <c r="B49" s="14" t="n">
        <f aca="false">COUNTIF(Interactions!$O$2:$O$354,A49)</f>
        <v>6</v>
      </c>
      <c r="C49" s="14" t="n">
        <f aca="false">COUNTIF(Interactions!$P$2:$P$354,A49)</f>
        <v>19</v>
      </c>
      <c r="D49" s="14" t="n">
        <f aca="false">COUNTIFS(Interactions!$O$2:$O$354,A49,Interactions!$P$2:$P$354,A49)</f>
        <v>5</v>
      </c>
    </row>
    <row r="50" customFormat="false" ht="15" hidden="false" customHeight="false" outlineLevel="0" collapsed="false">
      <c r="A50" s="14" t="s">
        <v>199</v>
      </c>
      <c r="B50" s="14" t="n">
        <f aca="false">COUNTIF(Interactions!$O$2:$O$354,A50)</f>
        <v>16</v>
      </c>
      <c r="C50" s="14" t="n">
        <f aca="false">COUNTIF(Interactions!$P$2:$P$354,A50)</f>
        <v>7</v>
      </c>
      <c r="D50" s="14" t="n">
        <f aca="false">COUNTIFS(Interactions!$O$2:$O$354,A50,Interactions!$P$2:$P$354,A50)</f>
        <v>0</v>
      </c>
    </row>
    <row r="51" customFormat="false" ht="15" hidden="false" customHeight="false" outlineLevel="0" collapsed="false">
      <c r="A51" s="14" t="s">
        <v>124</v>
      </c>
      <c r="B51" s="14" t="n">
        <f aca="false">COUNTIF(Interactions!$O$2:$O$354,A51)</f>
        <v>43</v>
      </c>
      <c r="C51" s="14" t="n">
        <f aca="false">COUNTIF(Interactions!$P$2:$P$354,A51)</f>
        <v>19</v>
      </c>
      <c r="D51" s="14" t="n">
        <f aca="false">COUNTIFS(Interactions!$O$2:$O$354,A51,Interactions!$P$2:$P$354,A51)</f>
        <v>9</v>
      </c>
    </row>
    <row r="52" customFormat="false" ht="15" hidden="false" customHeight="false" outlineLevel="0" collapsed="false">
      <c r="A52" s="14" t="s">
        <v>443</v>
      </c>
      <c r="B52" s="14" t="n">
        <f aca="false">COUNTIF(Interactions!$O$2:$O$354,A52)</f>
        <v>40</v>
      </c>
      <c r="C52" s="14" t="n">
        <f aca="false">COUNTIF(Interactions!$P$2:$P$354,A52)</f>
        <v>23</v>
      </c>
      <c r="D52" s="14" t="n">
        <f aca="false">COUNTIFS(Interactions!$O$2:$O$354,A52,Interactions!$P$2:$P$354,A52)</f>
        <v>17</v>
      </c>
    </row>
    <row r="53" customFormat="false" ht="15" hidden="false" customHeight="false" outlineLevel="0" collapsed="false">
      <c r="A53" s="14" t="s">
        <v>214</v>
      </c>
      <c r="B53" s="14" t="n">
        <f aca="false">COUNTIF(Interactions!$O$2:$O$354,A53)</f>
        <v>13</v>
      </c>
      <c r="C53" s="14" t="n">
        <f aca="false">COUNTIF(Interactions!$P$2:$P$354,A53)</f>
        <v>26</v>
      </c>
      <c r="D53" s="14" t="n">
        <f aca="false">COUNTIFS(Interactions!$O$2:$O$354,A53,Interactions!$P$2:$P$354,A53)</f>
        <v>1</v>
      </c>
    </row>
    <row r="54" customFormat="false" ht="15" hidden="false" customHeight="false" outlineLevel="0" collapsed="false">
      <c r="A54" s="12" t="s">
        <v>1692</v>
      </c>
    </row>
  </sheetData>
  <printOptions headings="false" gridLines="false" gridLinesSet="true" horizontalCentered="tru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9A227"/>
    <pageSetUpPr fitToPage="true"/>
  </sheetPr>
  <dimension ref="A1:K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13"/>
    <col collapsed="false" customWidth="true" hidden="false" outlineLevel="0" max="2" min="2" style="0" width="10"/>
    <col collapsed="false" customWidth="true" hidden="false" outlineLevel="0" max="3" min="3" style="0" width="11"/>
    <col collapsed="false" customWidth="true" hidden="false" outlineLevel="0" max="4" min="4" style="0" width="6"/>
    <col collapsed="false" customWidth="true" hidden="false" outlineLevel="0" max="5" min="5" style="0" width="26"/>
    <col collapsed="false" customWidth="true" hidden="false" outlineLevel="0" max="6" min="6" style="0" width="24"/>
    <col collapsed="false" customWidth="true" hidden="false" outlineLevel="0" max="7" min="7" style="0" width="60"/>
    <col collapsed="false" customWidth="true" hidden="false" outlineLevel="0" max="8" min="8" style="0" width="40"/>
    <col collapsed="false" customWidth="true" hidden="false" outlineLevel="0" max="9" min="9" style="0" width="45"/>
    <col collapsed="false" customWidth="true" hidden="false" outlineLevel="0" max="10" min="10" style="0" width="16"/>
    <col collapsed="false" customWidth="true" hidden="false" outlineLevel="0" max="11" min="11" style="0" width="19"/>
  </cols>
  <sheetData>
    <row r="1" customFormat="false" ht="19.7" hidden="false" customHeight="false" outlineLevel="0" collapsed="false">
      <c r="A1" s="20" t="s">
        <v>1693</v>
      </c>
      <c r="B1" s="20"/>
      <c r="C1" s="20"/>
      <c r="D1" s="20"/>
      <c r="E1" s="20"/>
      <c r="F1" s="20"/>
      <c r="G1" s="20"/>
      <c r="H1" s="20"/>
      <c r="I1" s="20"/>
      <c r="J1" s="20"/>
      <c r="K1" s="20"/>
    </row>
    <row r="2" customFormat="false" ht="30" hidden="false" customHeight="true" outlineLevel="0" collapsed="false">
      <c r="A2" s="21" t="s">
        <v>1694</v>
      </c>
      <c r="B2" s="21"/>
      <c r="C2" s="21"/>
      <c r="D2" s="21"/>
      <c r="E2" s="21"/>
      <c r="F2" s="21"/>
      <c r="G2" s="21"/>
      <c r="H2" s="21"/>
      <c r="I2" s="21"/>
    </row>
    <row r="4" customFormat="false" ht="35.05" hidden="false" customHeight="false" outlineLevel="0" collapsed="false">
      <c r="A4" s="7" t="s">
        <v>18</v>
      </c>
      <c r="B4" s="7" t="s">
        <v>64</v>
      </c>
      <c r="C4" s="7" t="s">
        <v>66</v>
      </c>
      <c r="D4" s="7" t="s">
        <v>67</v>
      </c>
      <c r="E4" s="7" t="s">
        <v>1695</v>
      </c>
      <c r="F4" s="7" t="s">
        <v>1696</v>
      </c>
      <c r="G4" s="7" t="s">
        <v>1697</v>
      </c>
      <c r="H4" s="7" t="s">
        <v>1698</v>
      </c>
      <c r="I4" s="7" t="s">
        <v>1699</v>
      </c>
      <c r="J4" s="7" t="s">
        <v>1700</v>
      </c>
      <c r="K4" s="7" t="s">
        <v>15</v>
      </c>
    </row>
    <row r="5" customFormat="false" ht="57.45" hidden="false" customHeight="false" outlineLevel="0" collapsed="false">
      <c r="A5" s="22" t="s">
        <v>75</v>
      </c>
      <c r="B5" s="22" t="s">
        <v>76</v>
      </c>
      <c r="C5" s="22" t="s">
        <v>78</v>
      </c>
      <c r="D5" s="23" t="n">
        <f aca="false">IF(INDEX(Interactions!$C:$C,MATCH(A5,Interactions!$A:$A,0))="inhibition",-1,1)</f>
        <v>1</v>
      </c>
      <c r="E5" s="22" t="s">
        <v>1701</v>
      </c>
      <c r="F5" s="22" t="s">
        <v>1702</v>
      </c>
      <c r="G5" s="22" t="s">
        <v>91</v>
      </c>
      <c r="H5" s="22" t="s">
        <v>1703</v>
      </c>
      <c r="I5" s="22" t="s">
        <v>1703</v>
      </c>
      <c r="J5" s="22" t="s">
        <v>1704</v>
      </c>
      <c r="K5" s="22" t="s">
        <v>86</v>
      </c>
    </row>
    <row r="6" customFormat="false" ht="35.05" hidden="false" customHeight="false" outlineLevel="0" collapsed="false">
      <c r="A6" s="22" t="s">
        <v>133</v>
      </c>
      <c r="B6" s="22" t="s">
        <v>134</v>
      </c>
      <c r="C6" s="22" t="s">
        <v>112</v>
      </c>
      <c r="D6" s="23" t="n">
        <f aca="false">IF(INDEX(Interactions!$C:$C,MATCH(A6,Interactions!$A:$A,0))="inhibition",-1,1)</f>
        <v>1</v>
      </c>
      <c r="E6" s="22" t="s">
        <v>1705</v>
      </c>
      <c r="F6" s="22" t="s">
        <v>1706</v>
      </c>
      <c r="G6" s="22" t="s">
        <v>142</v>
      </c>
      <c r="H6" s="22" t="s">
        <v>1707</v>
      </c>
      <c r="I6" s="22" t="s">
        <v>1708</v>
      </c>
      <c r="J6" s="22" t="s">
        <v>1704</v>
      </c>
      <c r="K6" s="22" t="s">
        <v>86</v>
      </c>
    </row>
    <row r="7" customFormat="false" ht="57.45" hidden="false" customHeight="false" outlineLevel="0" collapsed="false">
      <c r="A7" s="22" t="s">
        <v>162</v>
      </c>
      <c r="B7" s="22" t="s">
        <v>163</v>
      </c>
      <c r="C7" s="22" t="s">
        <v>147</v>
      </c>
      <c r="D7" s="23" t="n">
        <f aca="false">IF(INDEX(Interactions!$C:$C,MATCH(A7,Interactions!$A:$A,0))="inhibition",-1,1)</f>
        <v>-1</v>
      </c>
      <c r="E7" s="22" t="s">
        <v>1709</v>
      </c>
      <c r="F7" s="22" t="s">
        <v>1710</v>
      </c>
      <c r="G7" s="22" t="s">
        <v>168</v>
      </c>
      <c r="H7" s="22" t="s">
        <v>1711</v>
      </c>
      <c r="I7" s="22" t="s">
        <v>1712</v>
      </c>
      <c r="J7" s="22" t="s">
        <v>1713</v>
      </c>
      <c r="K7" s="22" t="s">
        <v>86</v>
      </c>
    </row>
    <row r="8" customFormat="false" ht="57.45" hidden="false" customHeight="false" outlineLevel="0" collapsed="false">
      <c r="A8" s="22" t="s">
        <v>173</v>
      </c>
      <c r="B8" s="22" t="s">
        <v>174</v>
      </c>
      <c r="C8" s="22" t="s">
        <v>170</v>
      </c>
      <c r="D8" s="23" t="n">
        <f aca="false">IF(INDEX(Interactions!$C:$C,MATCH(A8,Interactions!$A:$A,0))="inhibition",-1,1)</f>
        <v>-1</v>
      </c>
      <c r="E8" s="22" t="s">
        <v>1709</v>
      </c>
      <c r="F8" s="22" t="s">
        <v>1710</v>
      </c>
      <c r="G8" s="22" t="s">
        <v>168</v>
      </c>
      <c r="H8" s="22" t="s">
        <v>1714</v>
      </c>
      <c r="I8" s="22" t="s">
        <v>1715</v>
      </c>
      <c r="J8" s="22" t="s">
        <v>1713</v>
      </c>
      <c r="K8" s="22" t="s">
        <v>86</v>
      </c>
    </row>
    <row r="9" customFormat="false" ht="46.25" hidden="false" customHeight="false" outlineLevel="0" collapsed="false">
      <c r="A9" s="22" t="s">
        <v>176</v>
      </c>
      <c r="B9" s="22" t="s">
        <v>177</v>
      </c>
      <c r="C9" s="22" t="s">
        <v>178</v>
      </c>
      <c r="D9" s="23" t="n">
        <f aca="false">IF(INDEX(Interactions!$C:$C,MATCH(A9,Interactions!$A:$A,0))="inhibition",-1,1)</f>
        <v>1</v>
      </c>
      <c r="E9" s="22" t="s">
        <v>1716</v>
      </c>
      <c r="F9" s="22" t="s">
        <v>1717</v>
      </c>
      <c r="G9" s="22" t="s">
        <v>184</v>
      </c>
      <c r="H9" s="22" t="s">
        <v>1718</v>
      </c>
      <c r="I9" s="22" t="s">
        <v>1719</v>
      </c>
      <c r="J9" s="22" t="s">
        <v>1720</v>
      </c>
      <c r="K9" s="22" t="s">
        <v>86</v>
      </c>
    </row>
    <row r="10" customFormat="false" ht="57.45" hidden="false" customHeight="false" outlineLevel="0" collapsed="false">
      <c r="A10" s="22" t="s">
        <v>193</v>
      </c>
      <c r="B10" s="22" t="s">
        <v>194</v>
      </c>
      <c r="C10" s="22" t="s">
        <v>178</v>
      </c>
      <c r="D10" s="23" t="n">
        <f aca="false">IF(INDEX(Interactions!$C:$C,MATCH(A10,Interactions!$A:$A,0))="inhibition",-1,1)</f>
        <v>1</v>
      </c>
      <c r="E10" s="22" t="s">
        <v>1721</v>
      </c>
      <c r="F10" s="22" t="s">
        <v>1722</v>
      </c>
      <c r="G10" s="22" t="s">
        <v>202</v>
      </c>
      <c r="H10" s="22" t="s">
        <v>1723</v>
      </c>
      <c r="I10" s="22" t="s">
        <v>1723</v>
      </c>
      <c r="J10" s="22" t="s">
        <v>1704</v>
      </c>
      <c r="K10" s="22" t="s">
        <v>86</v>
      </c>
    </row>
    <row r="11" customFormat="false" ht="68.65" hidden="false" customHeight="false" outlineLevel="0" collapsed="false">
      <c r="A11" s="22" t="s">
        <v>232</v>
      </c>
      <c r="B11" s="22" t="s">
        <v>102</v>
      </c>
      <c r="C11" s="22" t="s">
        <v>219</v>
      </c>
      <c r="D11" s="23" t="n">
        <f aca="false">IF(INDEX(Interactions!$C:$C,MATCH(A11,Interactions!$A:$A,0))="inhibition",-1,1)</f>
        <v>-1</v>
      </c>
      <c r="E11" s="22" t="s">
        <v>1724</v>
      </c>
      <c r="F11" s="22" t="s">
        <v>239</v>
      </c>
      <c r="G11" s="22" t="s">
        <v>1725</v>
      </c>
      <c r="H11" s="22" t="s">
        <v>1726</v>
      </c>
      <c r="I11" s="22" t="s">
        <v>1727</v>
      </c>
      <c r="J11" s="22" t="s">
        <v>1728</v>
      </c>
      <c r="K11" s="22" t="s">
        <v>86</v>
      </c>
    </row>
    <row r="12" customFormat="false" ht="57.45" hidden="false" customHeight="false" outlineLevel="0" collapsed="false">
      <c r="A12" s="22" t="s">
        <v>350</v>
      </c>
      <c r="B12" s="22" t="s">
        <v>351</v>
      </c>
      <c r="C12" s="22" t="s">
        <v>352</v>
      </c>
      <c r="D12" s="23" t="n">
        <f aca="false">IF(INDEX(Interactions!$C:$C,MATCH(A12,Interactions!$A:$A,0))="inhibition",-1,1)</f>
        <v>1</v>
      </c>
      <c r="E12" s="22" t="s">
        <v>1729</v>
      </c>
      <c r="F12" s="22" t="s">
        <v>1730</v>
      </c>
      <c r="G12" s="22" t="s">
        <v>358</v>
      </c>
      <c r="H12" s="22" t="s">
        <v>1731</v>
      </c>
      <c r="I12" s="22" t="s">
        <v>1731</v>
      </c>
      <c r="J12" s="22" t="s">
        <v>1704</v>
      </c>
      <c r="K12" s="22" t="s">
        <v>86</v>
      </c>
    </row>
    <row r="13" customFormat="false" ht="46.25" hidden="false" customHeight="false" outlineLevel="0" collapsed="false">
      <c r="A13" s="22" t="s">
        <v>394</v>
      </c>
      <c r="B13" s="22" t="s">
        <v>395</v>
      </c>
      <c r="C13" s="22" t="s">
        <v>396</v>
      </c>
      <c r="D13" s="23" t="n">
        <f aca="false">IF(INDEX(Interactions!$C:$C,MATCH(A13,Interactions!$A:$A,0))="inhibition",-1,1)</f>
        <v>1</v>
      </c>
      <c r="E13" s="22" t="s">
        <v>1729</v>
      </c>
      <c r="F13" s="22" t="s">
        <v>1732</v>
      </c>
      <c r="G13" s="22" t="s">
        <v>402</v>
      </c>
      <c r="H13" s="22" t="s">
        <v>1733</v>
      </c>
      <c r="I13" s="22" t="s">
        <v>1733</v>
      </c>
      <c r="J13" s="22" t="s">
        <v>1704</v>
      </c>
      <c r="K13" s="22" t="s">
        <v>86</v>
      </c>
    </row>
    <row r="14" customFormat="false" ht="57.45" hidden="false" customHeight="false" outlineLevel="0" collapsed="false">
      <c r="A14" s="22" t="s">
        <v>491</v>
      </c>
      <c r="B14" s="22" t="s">
        <v>76</v>
      </c>
      <c r="C14" s="22" t="s">
        <v>492</v>
      </c>
      <c r="D14" s="23" t="n">
        <f aca="false">IF(INDEX(Interactions!$C:$C,MATCH(A14,Interactions!$A:$A,0))="inhibition",-1,1)</f>
        <v>1</v>
      </c>
      <c r="E14" s="22" t="s">
        <v>1701</v>
      </c>
      <c r="F14" s="22" t="s">
        <v>1702</v>
      </c>
      <c r="G14" s="22" t="s">
        <v>91</v>
      </c>
      <c r="H14" s="22" t="s">
        <v>1734</v>
      </c>
      <c r="I14" s="22" t="s">
        <v>1734</v>
      </c>
      <c r="J14" s="22" t="s">
        <v>1704</v>
      </c>
      <c r="K14" s="22" t="s">
        <v>86</v>
      </c>
    </row>
    <row r="15" customFormat="false" ht="46.25" hidden="false" customHeight="false" outlineLevel="0" collapsed="false">
      <c r="A15" s="22" t="s">
        <v>568</v>
      </c>
      <c r="B15" s="22" t="s">
        <v>194</v>
      </c>
      <c r="C15" s="22" t="s">
        <v>563</v>
      </c>
      <c r="D15" s="23" t="n">
        <f aca="false">IF(INDEX(Interactions!$C:$C,MATCH(A15,Interactions!$A:$A,0))="inhibition",-1,1)</f>
        <v>1</v>
      </c>
      <c r="E15" s="22" t="s">
        <v>1735</v>
      </c>
      <c r="F15" s="22" t="s">
        <v>1736</v>
      </c>
      <c r="G15" s="22" t="s">
        <v>575</v>
      </c>
      <c r="H15" s="22" t="s">
        <v>1737</v>
      </c>
      <c r="I15" s="22" t="s">
        <v>1737</v>
      </c>
      <c r="J15" s="22" t="s">
        <v>1738</v>
      </c>
      <c r="K15" s="22" t="s">
        <v>86</v>
      </c>
    </row>
    <row r="16" customFormat="false" ht="46.25" hidden="false" customHeight="false" outlineLevel="0" collapsed="false">
      <c r="A16" s="22" t="s">
        <v>583</v>
      </c>
      <c r="B16" s="22" t="s">
        <v>584</v>
      </c>
      <c r="C16" s="22" t="s">
        <v>577</v>
      </c>
      <c r="D16" s="23" t="n">
        <f aca="false">IF(INDEX(Interactions!$C:$C,MATCH(A16,Interactions!$A:$A,0))="inhibition",-1,1)</f>
        <v>1</v>
      </c>
      <c r="E16" s="22" t="s">
        <v>1735</v>
      </c>
      <c r="F16" s="22" t="s">
        <v>589</v>
      </c>
      <c r="G16" s="22" t="s">
        <v>591</v>
      </c>
      <c r="H16" s="22" t="s">
        <v>1739</v>
      </c>
      <c r="I16" s="22" t="s">
        <v>1739</v>
      </c>
      <c r="J16" s="22" t="s">
        <v>1738</v>
      </c>
      <c r="K16" s="22" t="s">
        <v>86</v>
      </c>
    </row>
    <row r="17" customFormat="false" ht="57.45" hidden="false" customHeight="false" outlineLevel="0" collapsed="false">
      <c r="A17" s="22" t="s">
        <v>756</v>
      </c>
      <c r="B17" s="22" t="s">
        <v>134</v>
      </c>
      <c r="C17" s="22" t="s">
        <v>76</v>
      </c>
      <c r="D17" s="23" t="n">
        <f aca="false">IF(INDEX(Interactions!$C:$C,MATCH(A17,Interactions!$A:$A,0))="inhibition",-1,1)</f>
        <v>1</v>
      </c>
      <c r="E17" s="22" t="s">
        <v>1729</v>
      </c>
      <c r="F17" s="22" t="s">
        <v>1740</v>
      </c>
      <c r="G17" s="22" t="s">
        <v>762</v>
      </c>
      <c r="H17" s="22" t="s">
        <v>1741</v>
      </c>
      <c r="I17" s="22" t="s">
        <v>1742</v>
      </c>
      <c r="J17" s="22" t="s">
        <v>1704</v>
      </c>
      <c r="K17" s="22" t="s">
        <v>86</v>
      </c>
    </row>
    <row r="18" customFormat="false" ht="57.45" hidden="false" customHeight="false" outlineLevel="0" collapsed="false">
      <c r="A18" s="22" t="s">
        <v>779</v>
      </c>
      <c r="B18" s="22" t="s">
        <v>780</v>
      </c>
      <c r="C18" s="22" t="s">
        <v>111</v>
      </c>
      <c r="D18" s="23" t="n">
        <f aca="false">IF(INDEX(Interactions!$C:$C,MATCH(A18,Interactions!$A:$A,0))="inhibition",-1,1)</f>
        <v>-1</v>
      </c>
      <c r="E18" s="22" t="s">
        <v>1729</v>
      </c>
      <c r="F18" s="22" t="s">
        <v>1743</v>
      </c>
      <c r="G18" s="22" t="s">
        <v>786</v>
      </c>
      <c r="H18" s="22" t="s">
        <v>1744</v>
      </c>
      <c r="I18" s="22" t="s">
        <v>1744</v>
      </c>
      <c r="J18" s="22" t="s">
        <v>1704</v>
      </c>
      <c r="K18" s="22" t="s">
        <v>86</v>
      </c>
    </row>
    <row r="19" customFormat="false" ht="35.05" hidden="false" customHeight="false" outlineLevel="0" collapsed="false">
      <c r="A19" s="22" t="s">
        <v>843</v>
      </c>
      <c r="B19" s="22" t="s">
        <v>844</v>
      </c>
      <c r="C19" s="22" t="s">
        <v>845</v>
      </c>
      <c r="D19" s="23" t="n">
        <f aca="false">IF(INDEX(Interactions!$C:$C,MATCH(A19,Interactions!$A:$A,0))="inhibition",-1,1)</f>
        <v>1</v>
      </c>
      <c r="E19" s="22" t="s">
        <v>1745</v>
      </c>
      <c r="F19" s="22" t="s">
        <v>1746</v>
      </c>
      <c r="G19" s="22" t="s">
        <v>851</v>
      </c>
      <c r="H19" s="22" t="s">
        <v>1747</v>
      </c>
      <c r="I19" s="22" t="s">
        <v>1747</v>
      </c>
      <c r="J19" s="22" t="s">
        <v>1704</v>
      </c>
      <c r="K19" s="22" t="s">
        <v>86</v>
      </c>
    </row>
    <row r="20" customFormat="false" ht="46.25" hidden="false" customHeight="false" outlineLevel="0" collapsed="false">
      <c r="A20" s="22" t="s">
        <v>892</v>
      </c>
      <c r="B20" s="22" t="s">
        <v>194</v>
      </c>
      <c r="C20" s="22" t="s">
        <v>351</v>
      </c>
      <c r="D20" s="23" t="n">
        <f aca="false">IF(INDEX(Interactions!$C:$C,MATCH(A20,Interactions!$A:$A,0))="inhibition",-1,1)</f>
        <v>1</v>
      </c>
      <c r="E20" s="22" t="s">
        <v>1748</v>
      </c>
      <c r="F20" s="22" t="s">
        <v>1749</v>
      </c>
      <c r="G20" s="22" t="s">
        <v>897</v>
      </c>
      <c r="H20" s="22" t="s">
        <v>1750</v>
      </c>
      <c r="I20" s="22" t="s">
        <v>1719</v>
      </c>
      <c r="J20" s="22" t="s">
        <v>1720</v>
      </c>
      <c r="K20" s="22" t="s">
        <v>86</v>
      </c>
    </row>
    <row r="21" customFormat="false" ht="102.2" hidden="false" customHeight="false" outlineLevel="0" collapsed="false">
      <c r="A21" s="22" t="s">
        <v>943</v>
      </c>
      <c r="B21" s="22" t="s">
        <v>944</v>
      </c>
      <c r="C21" s="22" t="s">
        <v>945</v>
      </c>
      <c r="D21" s="23" t="n">
        <f aca="false">IF(INDEX(Interactions!$C:$C,MATCH(A21,Interactions!$A:$A,0))="inhibition",-1,1)</f>
        <v>1</v>
      </c>
      <c r="E21" s="22" t="s">
        <v>1751</v>
      </c>
      <c r="F21" s="22" t="s">
        <v>1752</v>
      </c>
      <c r="G21" s="22" t="s">
        <v>1753</v>
      </c>
      <c r="H21" s="22" t="s">
        <v>1754</v>
      </c>
      <c r="I21" s="22" t="s">
        <v>1755</v>
      </c>
      <c r="J21" s="22" t="s">
        <v>1713</v>
      </c>
      <c r="K21" s="22" t="s">
        <v>86</v>
      </c>
    </row>
    <row r="22" customFormat="false" ht="46.25" hidden="false" customHeight="false" outlineLevel="0" collapsed="false">
      <c r="A22" s="22" t="s">
        <v>1117</v>
      </c>
      <c r="B22" s="22" t="s">
        <v>194</v>
      </c>
      <c r="C22" s="22" t="s">
        <v>134</v>
      </c>
      <c r="D22" s="23" t="n">
        <f aca="false">IF(INDEX(Interactions!$C:$C,MATCH(A22,Interactions!$A:$A,0))="inhibition",-1,1)</f>
        <v>1</v>
      </c>
      <c r="E22" s="22" t="s">
        <v>1701</v>
      </c>
      <c r="F22" s="22" t="s">
        <v>1702</v>
      </c>
      <c r="G22" s="22" t="s">
        <v>1122</v>
      </c>
      <c r="H22" s="22" t="s">
        <v>1756</v>
      </c>
      <c r="I22" s="22" t="s">
        <v>1756</v>
      </c>
      <c r="J22" s="22" t="s">
        <v>1704</v>
      </c>
      <c r="K22" s="22" t="s">
        <v>86</v>
      </c>
    </row>
    <row r="23" customFormat="false" ht="46.25" hidden="false" customHeight="false" outlineLevel="0" collapsed="false">
      <c r="A23" s="22" t="s">
        <v>1172</v>
      </c>
      <c r="B23" s="22" t="s">
        <v>844</v>
      </c>
      <c r="C23" s="22" t="s">
        <v>360</v>
      </c>
      <c r="D23" s="23" t="n">
        <f aca="false">IF(INDEX(Interactions!$C:$C,MATCH(A23,Interactions!$A:$A,0))="inhibition",-1,1)</f>
        <v>-1</v>
      </c>
      <c r="E23" s="22" t="s">
        <v>1757</v>
      </c>
      <c r="F23" s="22" t="s">
        <v>1758</v>
      </c>
      <c r="G23" s="22" t="s">
        <v>1179</v>
      </c>
      <c r="H23" s="22" t="s">
        <v>1759</v>
      </c>
      <c r="I23" s="22" t="s">
        <v>1759</v>
      </c>
      <c r="J23" s="22" t="s">
        <v>1704</v>
      </c>
      <c r="K23" s="22" t="s">
        <v>86</v>
      </c>
    </row>
    <row r="24" customFormat="false" ht="46.25" hidden="false" customHeight="false" outlineLevel="0" collapsed="false">
      <c r="A24" s="22" t="s">
        <v>1184</v>
      </c>
      <c r="B24" s="22" t="s">
        <v>1185</v>
      </c>
      <c r="C24" s="22" t="s">
        <v>174</v>
      </c>
      <c r="D24" s="23" t="n">
        <f aca="false">IF(INDEX(Interactions!$C:$C,MATCH(A24,Interactions!$A:$A,0))="inhibition",-1,1)</f>
        <v>-1</v>
      </c>
      <c r="E24" s="22" t="s">
        <v>1760</v>
      </c>
      <c r="F24" s="22" t="s">
        <v>1761</v>
      </c>
      <c r="G24" s="22" t="s">
        <v>1192</v>
      </c>
      <c r="H24" s="22" t="s">
        <v>1762</v>
      </c>
      <c r="I24" s="22" t="s">
        <v>1762</v>
      </c>
      <c r="J24" s="22" t="s">
        <v>1704</v>
      </c>
      <c r="K24" s="22" t="s">
        <v>86</v>
      </c>
    </row>
    <row r="25" customFormat="false" ht="35.05" hidden="false" customHeight="false" outlineLevel="0" collapsed="false">
      <c r="A25" s="22" t="s">
        <v>1242</v>
      </c>
      <c r="B25" s="22" t="s">
        <v>1128</v>
      </c>
      <c r="C25" s="22" t="s">
        <v>1053</v>
      </c>
      <c r="D25" s="23" t="n">
        <f aca="false">IF(INDEX(Interactions!$C:$C,MATCH(A25,Interactions!$A:$A,0))="inhibition",-1,1)</f>
        <v>1</v>
      </c>
      <c r="E25" s="22" t="s">
        <v>1721</v>
      </c>
      <c r="F25" s="22" t="s">
        <v>1763</v>
      </c>
      <c r="G25" s="22" t="s">
        <v>1248</v>
      </c>
      <c r="H25" s="22" t="s">
        <v>1764</v>
      </c>
      <c r="I25" s="22" t="s">
        <v>1764</v>
      </c>
      <c r="J25" s="22" t="s">
        <v>1704</v>
      </c>
      <c r="K25" s="22" t="s">
        <v>86</v>
      </c>
    </row>
    <row r="26" customFormat="false" ht="35.05" hidden="false" customHeight="false" outlineLevel="0" collapsed="false">
      <c r="A26" s="22" t="s">
        <v>1249</v>
      </c>
      <c r="B26" s="22" t="s">
        <v>1134</v>
      </c>
      <c r="C26" s="22" t="s">
        <v>1053</v>
      </c>
      <c r="D26" s="23" t="n">
        <f aca="false">IF(INDEX(Interactions!$C:$C,MATCH(A26,Interactions!$A:$A,0))="inhibition",-1,1)</f>
        <v>1</v>
      </c>
      <c r="E26" s="22" t="s">
        <v>1721</v>
      </c>
      <c r="F26" s="22" t="s">
        <v>1763</v>
      </c>
      <c r="G26" s="22" t="s">
        <v>1248</v>
      </c>
      <c r="H26" s="22" t="s">
        <v>1765</v>
      </c>
      <c r="I26" s="22" t="s">
        <v>1765</v>
      </c>
      <c r="J26" s="22" t="s">
        <v>1704</v>
      </c>
      <c r="K26" s="22" t="s">
        <v>86</v>
      </c>
    </row>
    <row r="27" customFormat="false" ht="46.25" hidden="false" customHeight="false" outlineLevel="0" collapsed="false">
      <c r="A27" s="22" t="s">
        <v>1279</v>
      </c>
      <c r="B27" s="22" t="s">
        <v>93</v>
      </c>
      <c r="C27" s="22" t="s">
        <v>1185</v>
      </c>
      <c r="D27" s="23" t="n">
        <f aca="false">IF(INDEX(Interactions!$C:$C,MATCH(A27,Interactions!$A:$A,0))="inhibition",-1,1)</f>
        <v>1</v>
      </c>
      <c r="E27" s="22" t="s">
        <v>1721</v>
      </c>
      <c r="F27" s="22" t="s">
        <v>1766</v>
      </c>
      <c r="G27" s="22" t="s">
        <v>1285</v>
      </c>
      <c r="H27" s="22" t="s">
        <v>1767</v>
      </c>
      <c r="I27" s="22" t="s">
        <v>1767</v>
      </c>
      <c r="J27" s="22" t="s">
        <v>1704</v>
      </c>
      <c r="K27" s="22" t="s">
        <v>86</v>
      </c>
    </row>
    <row r="28" customFormat="false" ht="57.45" hidden="false" customHeight="false" outlineLevel="0" collapsed="false">
      <c r="A28" s="22" t="s">
        <v>1296</v>
      </c>
      <c r="B28" s="22" t="s">
        <v>1209</v>
      </c>
      <c r="C28" s="22" t="s">
        <v>1134</v>
      </c>
      <c r="D28" s="23" t="n">
        <f aca="false">IF(INDEX(Interactions!$C:$C,MATCH(A28,Interactions!$A:$A,0))="inhibition",-1,1)</f>
        <v>-1</v>
      </c>
      <c r="E28" s="22" t="s">
        <v>1724</v>
      </c>
      <c r="F28" s="22" t="s">
        <v>1301</v>
      </c>
      <c r="G28" s="22" t="s">
        <v>1768</v>
      </c>
      <c r="H28" s="22" t="s">
        <v>1769</v>
      </c>
      <c r="I28" s="22" t="s">
        <v>1727</v>
      </c>
      <c r="J28" s="22" t="s">
        <v>1728</v>
      </c>
      <c r="K28" s="22" t="s">
        <v>86</v>
      </c>
    </row>
    <row r="29" customFormat="false" ht="57.45" hidden="false" customHeight="false" outlineLevel="0" collapsed="false">
      <c r="A29" s="22" t="s">
        <v>1304</v>
      </c>
      <c r="B29" s="22" t="s">
        <v>1305</v>
      </c>
      <c r="C29" s="22" t="s">
        <v>1128</v>
      </c>
      <c r="D29" s="23" t="n">
        <f aca="false">IF(INDEX(Interactions!$C:$C,MATCH(A29,Interactions!$A:$A,0))="inhibition",-1,1)</f>
        <v>-1</v>
      </c>
      <c r="E29" s="22" t="s">
        <v>1724</v>
      </c>
      <c r="F29" s="22" t="s">
        <v>1301</v>
      </c>
      <c r="G29" s="22" t="s">
        <v>1768</v>
      </c>
      <c r="H29" s="22" t="s">
        <v>1770</v>
      </c>
      <c r="I29" s="22" t="s">
        <v>1727</v>
      </c>
      <c r="J29" s="22" t="s">
        <v>1728</v>
      </c>
      <c r="K29" s="22" t="s">
        <v>86</v>
      </c>
    </row>
    <row r="30" customFormat="false" ht="57.45" hidden="false" customHeight="false" outlineLevel="0" collapsed="false">
      <c r="A30" s="22" t="s">
        <v>1346</v>
      </c>
      <c r="B30" s="22" t="s">
        <v>563</v>
      </c>
      <c r="C30" s="22" t="s">
        <v>194</v>
      </c>
      <c r="D30" s="23" t="n">
        <f aca="false">IF(INDEX(Interactions!$C:$C,MATCH(A30,Interactions!$A:$A,0))="inhibition",-1,1)</f>
        <v>1</v>
      </c>
      <c r="E30" s="22" t="s">
        <v>1701</v>
      </c>
      <c r="F30" s="22" t="s">
        <v>1702</v>
      </c>
      <c r="G30" s="22" t="s">
        <v>1352</v>
      </c>
      <c r="H30" s="22" t="s">
        <v>1771</v>
      </c>
      <c r="I30" s="22" t="s">
        <v>1771</v>
      </c>
      <c r="J30" s="22" t="s">
        <v>1704</v>
      </c>
      <c r="K30" s="22" t="s">
        <v>86</v>
      </c>
    </row>
    <row r="31" customFormat="false" ht="57.45" hidden="false" customHeight="false" outlineLevel="0" collapsed="false">
      <c r="A31" s="22" t="s">
        <v>1358</v>
      </c>
      <c r="B31" s="22" t="s">
        <v>1359</v>
      </c>
      <c r="C31" s="22" t="s">
        <v>194</v>
      </c>
      <c r="D31" s="23" t="n">
        <f aca="false">IF(INDEX(Interactions!$C:$C,MATCH(A31,Interactions!$A:$A,0))="inhibition",-1,1)</f>
        <v>-1</v>
      </c>
      <c r="E31" s="22" t="s">
        <v>1701</v>
      </c>
      <c r="F31" s="22" t="s">
        <v>1772</v>
      </c>
      <c r="G31" s="22" t="s">
        <v>1366</v>
      </c>
      <c r="H31" s="22" t="s">
        <v>1773</v>
      </c>
      <c r="I31" s="22" t="s">
        <v>1773</v>
      </c>
      <c r="J31" s="22" t="s">
        <v>1704</v>
      </c>
      <c r="K31" s="22" t="s">
        <v>86</v>
      </c>
    </row>
    <row r="32" customFormat="false" ht="68.65" hidden="false" customHeight="false" outlineLevel="0" collapsed="false">
      <c r="A32" s="22" t="s">
        <v>1467</v>
      </c>
      <c r="B32" s="22" t="s">
        <v>395</v>
      </c>
      <c r="C32" s="22" t="s">
        <v>1468</v>
      </c>
      <c r="D32" s="23" t="n">
        <f aca="false">IF(INDEX(Interactions!$C:$C,MATCH(A32,Interactions!$A:$A,0))="inhibition",-1,1)</f>
        <v>1</v>
      </c>
      <c r="E32" s="22" t="s">
        <v>1774</v>
      </c>
      <c r="F32" s="22" t="s">
        <v>1775</v>
      </c>
      <c r="G32" s="22" t="s">
        <v>1472</v>
      </c>
      <c r="H32" s="22" t="s">
        <v>1776</v>
      </c>
      <c r="I32" s="22" t="s">
        <v>1719</v>
      </c>
      <c r="J32" s="22" t="s">
        <v>1777</v>
      </c>
      <c r="K32" s="22" t="s">
        <v>86</v>
      </c>
    </row>
    <row r="33" customFormat="false" ht="35.05" hidden="false" customHeight="false" outlineLevel="0" collapsed="false">
      <c r="A33" s="22" t="s">
        <v>1482</v>
      </c>
      <c r="B33" s="22" t="s">
        <v>219</v>
      </c>
      <c r="C33" s="22" t="s">
        <v>1468</v>
      </c>
      <c r="D33" s="23" t="n">
        <f aca="false">IF(INDEX(Interactions!$C:$C,MATCH(A33,Interactions!$A:$A,0))="inhibition",-1,1)</f>
        <v>-1</v>
      </c>
      <c r="E33" s="22" t="s">
        <v>1774</v>
      </c>
      <c r="F33" s="22" t="s">
        <v>1778</v>
      </c>
      <c r="G33" s="22" t="s">
        <v>1487</v>
      </c>
      <c r="H33" s="22" t="s">
        <v>1779</v>
      </c>
      <c r="I33" s="22" t="s">
        <v>1719</v>
      </c>
      <c r="J33" s="22" t="s">
        <v>1777</v>
      </c>
      <c r="K33" s="22" t="s">
        <v>86</v>
      </c>
    </row>
    <row r="34" customFormat="false" ht="46.25" hidden="false" customHeight="false" outlineLevel="0" collapsed="false">
      <c r="A34" s="22" t="s">
        <v>1581</v>
      </c>
      <c r="B34" s="22" t="s">
        <v>844</v>
      </c>
      <c r="C34" s="22" t="s">
        <v>622</v>
      </c>
      <c r="D34" s="23" t="n">
        <f aca="false">IF(INDEX(Interactions!$C:$C,MATCH(A34,Interactions!$A:$A,0))="inhibition",-1,1)</f>
        <v>-1</v>
      </c>
      <c r="E34" s="22" t="s">
        <v>1780</v>
      </c>
      <c r="F34" s="22" t="s">
        <v>1781</v>
      </c>
      <c r="G34" s="22" t="s">
        <v>1586</v>
      </c>
      <c r="H34" s="22" t="s">
        <v>1782</v>
      </c>
      <c r="I34" s="22" t="s">
        <v>1719</v>
      </c>
      <c r="J34" s="22" t="s">
        <v>1720</v>
      </c>
      <c r="K34" s="22" t="s">
        <v>86</v>
      </c>
    </row>
    <row r="35" customFormat="false" ht="46.25" hidden="false" customHeight="false" outlineLevel="0" collapsed="false">
      <c r="A35" s="22" t="s">
        <v>1594</v>
      </c>
      <c r="B35" s="22" t="s">
        <v>844</v>
      </c>
      <c r="C35" s="22" t="s">
        <v>608</v>
      </c>
      <c r="D35" s="23" t="n">
        <f aca="false">IF(INDEX(Interactions!$C:$C,MATCH(A35,Interactions!$A:$A,0))="inhibition",-1,1)</f>
        <v>-1</v>
      </c>
      <c r="E35" s="22" t="s">
        <v>1780</v>
      </c>
      <c r="F35" s="22" t="s">
        <v>1781</v>
      </c>
      <c r="G35" s="22" t="s">
        <v>1586</v>
      </c>
      <c r="H35" s="22" t="s">
        <v>1783</v>
      </c>
      <c r="I35" s="22" t="s">
        <v>1719</v>
      </c>
      <c r="J35" s="22" t="s">
        <v>1720</v>
      </c>
      <c r="K35" s="22" t="s">
        <v>86</v>
      </c>
    </row>
    <row r="36" customFormat="false" ht="46.25" hidden="false" customHeight="false" outlineLevel="0" collapsed="false">
      <c r="A36" s="22" t="s">
        <v>1602</v>
      </c>
      <c r="B36" s="22" t="s">
        <v>844</v>
      </c>
      <c r="C36" s="22" t="s">
        <v>613</v>
      </c>
      <c r="D36" s="23" t="n">
        <f aca="false">IF(INDEX(Interactions!$C:$C,MATCH(A36,Interactions!$A:$A,0))="inhibition",-1,1)</f>
        <v>-1</v>
      </c>
      <c r="E36" s="22" t="s">
        <v>1774</v>
      </c>
      <c r="F36" s="22" t="s">
        <v>1784</v>
      </c>
      <c r="G36" s="22" t="s">
        <v>1607</v>
      </c>
      <c r="H36" s="22" t="s">
        <v>1785</v>
      </c>
      <c r="I36" s="22" t="s">
        <v>1719</v>
      </c>
      <c r="J36" s="22" t="s">
        <v>1777</v>
      </c>
      <c r="K36" s="22" t="s">
        <v>86</v>
      </c>
    </row>
    <row r="37" customFormat="false" ht="46.25" hidden="false" customHeight="false" outlineLevel="0" collapsed="false">
      <c r="A37" s="22" t="s">
        <v>1613</v>
      </c>
      <c r="B37" s="22" t="s">
        <v>844</v>
      </c>
      <c r="C37" s="22" t="s">
        <v>624</v>
      </c>
      <c r="D37" s="23" t="n">
        <f aca="false">IF(INDEX(Interactions!$C:$C,MATCH(A37,Interactions!$A:$A,0))="inhibition",-1,1)</f>
        <v>-1</v>
      </c>
      <c r="E37" s="22" t="s">
        <v>1724</v>
      </c>
      <c r="F37" s="22" t="s">
        <v>1619</v>
      </c>
      <c r="G37" s="22" t="s">
        <v>1786</v>
      </c>
      <c r="H37" s="22" t="s">
        <v>1787</v>
      </c>
      <c r="I37" s="22" t="s">
        <v>1727</v>
      </c>
      <c r="J37" s="22" t="s">
        <v>1728</v>
      </c>
      <c r="K37" s="22" t="s">
        <v>86</v>
      </c>
    </row>
    <row r="38" customFormat="false" ht="57.45" hidden="false" customHeight="false" outlineLevel="0" collapsed="false">
      <c r="A38" s="22" t="s">
        <v>1639</v>
      </c>
      <c r="B38" s="22" t="s">
        <v>194</v>
      </c>
      <c r="C38" s="22" t="s">
        <v>1387</v>
      </c>
      <c r="D38" s="23" t="n">
        <f aca="false">IF(INDEX(Interactions!$C:$C,MATCH(A38,Interactions!$A:$A,0))="inhibition",-1,1)</f>
        <v>-1</v>
      </c>
      <c r="E38" s="22" t="s">
        <v>1788</v>
      </c>
      <c r="F38" s="22" t="s">
        <v>1644</v>
      </c>
      <c r="G38" s="22" t="s">
        <v>1645</v>
      </c>
      <c r="H38" s="22" t="s">
        <v>1789</v>
      </c>
      <c r="I38" s="22" t="s">
        <v>1789</v>
      </c>
      <c r="J38" s="22" t="s">
        <v>1738</v>
      </c>
      <c r="K38" s="22" t="s">
        <v>86</v>
      </c>
    </row>
    <row r="39" customFormat="false" ht="35.05" hidden="false" customHeight="false" outlineLevel="0" collapsed="false">
      <c r="A39" s="22" t="s">
        <v>1655</v>
      </c>
      <c r="B39" s="22" t="s">
        <v>844</v>
      </c>
      <c r="C39" s="22" t="s">
        <v>620</v>
      </c>
      <c r="D39" s="23" t="n">
        <f aca="false">IF(INDEX(Interactions!$C:$C,MATCH(A39,Interactions!$A:$A,0))="inhibition",-1,1)</f>
        <v>-1</v>
      </c>
      <c r="E39" s="22" t="s">
        <v>1790</v>
      </c>
      <c r="F39" s="22" t="s">
        <v>1791</v>
      </c>
      <c r="G39" s="22" t="s">
        <v>1660</v>
      </c>
      <c r="H39" s="22" t="s">
        <v>1792</v>
      </c>
      <c r="I39" s="22" t="s">
        <v>1719</v>
      </c>
      <c r="J39" s="22" t="s">
        <v>1777</v>
      </c>
      <c r="K39" s="22" t="s">
        <v>86</v>
      </c>
    </row>
    <row r="40" customFormat="false" ht="35.05" hidden="false" customHeight="false" outlineLevel="0" collapsed="false">
      <c r="A40" s="22" t="s">
        <v>1662</v>
      </c>
      <c r="B40" s="22" t="s">
        <v>844</v>
      </c>
      <c r="C40" s="22" t="s">
        <v>601</v>
      </c>
      <c r="D40" s="23" t="n">
        <f aca="false">IF(INDEX(Interactions!$C:$C,MATCH(A40,Interactions!$A:$A,0))="inhibition",-1,1)</f>
        <v>-1</v>
      </c>
      <c r="E40" s="22" t="s">
        <v>1790</v>
      </c>
      <c r="F40" s="22" t="s">
        <v>1791</v>
      </c>
      <c r="G40" s="22" t="s">
        <v>1660</v>
      </c>
      <c r="H40" s="22" t="s">
        <v>1793</v>
      </c>
      <c r="I40" s="22" t="s">
        <v>1719</v>
      </c>
      <c r="J40" s="22" t="s">
        <v>1777</v>
      </c>
      <c r="K40" s="22" t="s">
        <v>86</v>
      </c>
    </row>
    <row r="41" customFormat="false" ht="46.25" hidden="false" customHeight="false" outlineLevel="0" collapsed="false">
      <c r="A41" s="22" t="s">
        <v>1664</v>
      </c>
      <c r="B41" s="22" t="s">
        <v>194</v>
      </c>
      <c r="C41" s="22" t="s">
        <v>1665</v>
      </c>
      <c r="D41" s="23" t="n">
        <f aca="false">IF(INDEX(Interactions!$C:$C,MATCH(A41,Interactions!$A:$A,0))="inhibition",-1,1)</f>
        <v>1</v>
      </c>
      <c r="E41" s="22" t="s">
        <v>1701</v>
      </c>
      <c r="F41" s="22" t="s">
        <v>1794</v>
      </c>
      <c r="G41" s="22" t="s">
        <v>1671</v>
      </c>
      <c r="H41" s="22" t="s">
        <v>1795</v>
      </c>
      <c r="I41" s="22" t="s">
        <v>1795</v>
      </c>
      <c r="J41" s="22" t="s">
        <v>1704</v>
      </c>
      <c r="K41" s="22" t="s">
        <v>86</v>
      </c>
    </row>
  </sheetData>
  <autoFilter ref="A4:K41"/>
  <mergeCells count="2">
    <mergeCell ref="A1:K1"/>
    <mergeCell ref="A2:I2"/>
  </mergeCells>
  <printOptions headings="false" gridLines="false" gridLinesSet="true" horizontalCentered="true" verticalCentered="false"/>
  <pageMargins left="0.4" right="0.4" top="1" bottom="1"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504D"/>
    <pageSetUpPr fitToPage="true"/>
  </sheetPr>
  <dimension ref="A1:E2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2" min="2" style="0" width="48"/>
    <col collapsed="false" customWidth="true" hidden="false" outlineLevel="0" max="3" min="3" style="0" width="7"/>
    <col collapsed="false" customWidth="true" hidden="false" outlineLevel="0" max="4" min="4" style="0" width="40"/>
    <col collapsed="false" customWidth="true" hidden="false" outlineLevel="0" max="5" min="5" style="0" width="42"/>
  </cols>
  <sheetData>
    <row r="1" customFormat="false" ht="19.7" hidden="false" customHeight="false" outlineLevel="0" collapsed="false">
      <c r="A1" s="20" t="s">
        <v>1796</v>
      </c>
      <c r="B1" s="20"/>
      <c r="C1" s="20"/>
      <c r="D1" s="20"/>
      <c r="E1" s="20"/>
    </row>
    <row r="2" customFormat="false" ht="42" hidden="false" customHeight="true" outlineLevel="0" collapsed="false">
      <c r="A2" s="21" t="s">
        <v>1797</v>
      </c>
      <c r="B2" s="21"/>
      <c r="C2" s="21"/>
      <c r="D2" s="21"/>
      <c r="E2" s="21"/>
    </row>
    <row r="4" customFormat="false" ht="15" hidden="false" customHeight="false" outlineLevel="0" collapsed="false">
      <c r="A4" s="16" t="s">
        <v>1798</v>
      </c>
      <c r="B4" s="16" t="s">
        <v>1697</v>
      </c>
      <c r="C4" s="16" t="s">
        <v>1799</v>
      </c>
      <c r="D4" s="16" t="s">
        <v>1800</v>
      </c>
      <c r="E4" s="16" t="s">
        <v>1801</v>
      </c>
    </row>
    <row r="5" customFormat="false" ht="15" hidden="false" customHeight="false" outlineLevel="0" collapsed="false">
      <c r="A5" s="24" t="s">
        <v>1802</v>
      </c>
      <c r="B5" s="25" t="s">
        <v>1803</v>
      </c>
      <c r="C5" s="25" t="n">
        <v>2011</v>
      </c>
      <c r="D5" s="26" t="s">
        <v>1804</v>
      </c>
      <c r="E5" s="26" t="s">
        <v>1805</v>
      </c>
    </row>
    <row r="6" customFormat="false" ht="23.85" hidden="false" customHeight="false" outlineLevel="0" collapsed="false">
      <c r="A6" s="24" t="s">
        <v>1806</v>
      </c>
      <c r="B6" s="25" t="s">
        <v>1807</v>
      </c>
      <c r="C6" s="25" t="n">
        <v>2024</v>
      </c>
      <c r="D6" s="26" t="s">
        <v>1808</v>
      </c>
      <c r="E6" s="26" t="s">
        <v>1809</v>
      </c>
    </row>
    <row r="7" customFormat="false" ht="15" hidden="false" customHeight="false" outlineLevel="0" collapsed="false">
      <c r="A7" s="24" t="s">
        <v>1810</v>
      </c>
      <c r="B7" s="25" t="s">
        <v>1811</v>
      </c>
      <c r="C7" s="25" t="n">
        <v>2012</v>
      </c>
      <c r="D7" s="26" t="s">
        <v>1812</v>
      </c>
      <c r="E7" s="26" t="s">
        <v>1813</v>
      </c>
    </row>
    <row r="8" customFormat="false" ht="23.85" hidden="false" customHeight="false" outlineLevel="0" collapsed="false">
      <c r="A8" s="24" t="s">
        <v>1338</v>
      </c>
      <c r="B8" s="25" t="s">
        <v>1337</v>
      </c>
      <c r="C8" s="25" t="n">
        <v>2021</v>
      </c>
      <c r="D8" s="26" t="s">
        <v>1814</v>
      </c>
      <c r="E8" s="26" t="s">
        <v>1815</v>
      </c>
    </row>
    <row r="9" customFormat="false" ht="15" hidden="false" customHeight="false" outlineLevel="0" collapsed="false">
      <c r="A9" s="24" t="s">
        <v>1816</v>
      </c>
      <c r="B9" s="25" t="s">
        <v>1817</v>
      </c>
      <c r="C9" s="25" t="n">
        <v>2016</v>
      </c>
      <c r="D9" s="26" t="s">
        <v>1818</v>
      </c>
      <c r="E9" s="26" t="s">
        <v>1819</v>
      </c>
    </row>
    <row r="10" customFormat="false" ht="15" hidden="false" customHeight="false" outlineLevel="0" collapsed="false">
      <c r="A10" s="24" t="s">
        <v>1820</v>
      </c>
      <c r="B10" s="25" t="s">
        <v>1821</v>
      </c>
      <c r="C10" s="25" t="n">
        <v>2022</v>
      </c>
      <c r="D10" s="26" t="s">
        <v>1099</v>
      </c>
      <c r="E10" s="26" t="s">
        <v>1822</v>
      </c>
    </row>
    <row r="11" customFormat="false" ht="15" hidden="false" customHeight="false" outlineLevel="0" collapsed="false">
      <c r="A11" s="24" t="s">
        <v>228</v>
      </c>
      <c r="B11" s="27" t="s">
        <v>227</v>
      </c>
      <c r="C11" s="27" t="n">
        <v>2001</v>
      </c>
      <c r="D11" s="22" t="s">
        <v>226</v>
      </c>
      <c r="E11" s="22" t="s">
        <v>1823</v>
      </c>
    </row>
    <row r="12" customFormat="false" ht="15" hidden="false" customHeight="false" outlineLevel="0" collapsed="false">
      <c r="A12" s="24" t="s">
        <v>987</v>
      </c>
      <c r="B12" s="27" t="s">
        <v>986</v>
      </c>
      <c r="C12" s="27" t="n">
        <v>2001</v>
      </c>
      <c r="D12" s="22" t="s">
        <v>984</v>
      </c>
      <c r="E12" s="22" t="s">
        <v>1823</v>
      </c>
    </row>
    <row r="13" customFormat="false" ht="15" hidden="false" customHeight="false" outlineLevel="0" collapsed="false">
      <c r="A13" s="24" t="s">
        <v>1361</v>
      </c>
      <c r="B13" s="27" t="s">
        <v>1360</v>
      </c>
      <c r="C13" s="27" t="n">
        <v>2022</v>
      </c>
      <c r="D13" s="22" t="s">
        <v>1358</v>
      </c>
      <c r="E13" s="22" t="s">
        <v>1823</v>
      </c>
    </row>
    <row r="14" customFormat="false" ht="15" hidden="false" customHeight="false" outlineLevel="0" collapsed="false">
      <c r="A14" s="24" t="s">
        <v>707</v>
      </c>
      <c r="B14" s="27" t="s">
        <v>706</v>
      </c>
      <c r="C14" s="27" t="n">
        <v>2008</v>
      </c>
      <c r="D14" s="22" t="s">
        <v>705</v>
      </c>
      <c r="E14" s="22" t="s">
        <v>1823</v>
      </c>
    </row>
    <row r="15" customFormat="false" ht="15" hidden="false" customHeight="false" outlineLevel="0" collapsed="false">
      <c r="A15" s="24" t="s">
        <v>448</v>
      </c>
      <c r="B15" s="27" t="s">
        <v>447</v>
      </c>
      <c r="C15" s="27" t="n">
        <v>2008</v>
      </c>
      <c r="D15" s="22" t="s">
        <v>1824</v>
      </c>
      <c r="E15" s="22" t="s">
        <v>1823</v>
      </c>
    </row>
    <row r="16" customFormat="false" ht="15" hidden="false" customHeight="false" outlineLevel="0" collapsed="false">
      <c r="A16" s="24" t="s">
        <v>1424</v>
      </c>
      <c r="B16" s="27" t="s">
        <v>1423</v>
      </c>
      <c r="C16" s="27" t="n">
        <v>2009</v>
      </c>
      <c r="D16" s="22" t="s">
        <v>1422</v>
      </c>
      <c r="E16" s="22" t="s">
        <v>1823</v>
      </c>
    </row>
    <row r="17" customFormat="false" ht="15" hidden="false" customHeight="false" outlineLevel="0" collapsed="false">
      <c r="A17" s="24" t="s">
        <v>672</v>
      </c>
      <c r="B17" s="27" t="s">
        <v>671</v>
      </c>
      <c r="C17" s="27" t="n">
        <v>2014</v>
      </c>
      <c r="D17" s="22" t="s">
        <v>1825</v>
      </c>
      <c r="E17" s="22" t="s">
        <v>1823</v>
      </c>
    </row>
    <row r="18" customFormat="false" ht="15" hidden="false" customHeight="false" outlineLevel="0" collapsed="false">
      <c r="A18" s="24" t="s">
        <v>398</v>
      </c>
      <c r="B18" s="27" t="s">
        <v>397</v>
      </c>
      <c r="C18" s="27" t="n">
        <v>2014</v>
      </c>
      <c r="D18" s="22" t="s">
        <v>1826</v>
      </c>
      <c r="E18" s="22" t="s">
        <v>1823</v>
      </c>
    </row>
    <row r="19" customFormat="false" ht="15" hidden="false" customHeight="false" outlineLevel="0" collapsed="false">
      <c r="A19" s="24" t="s">
        <v>1598</v>
      </c>
      <c r="B19" s="27" t="s">
        <v>1597</v>
      </c>
      <c r="C19" s="27" t="n">
        <v>2020</v>
      </c>
      <c r="D19" s="22" t="s">
        <v>1596</v>
      </c>
      <c r="E19" s="22" t="s">
        <v>1823</v>
      </c>
    </row>
    <row r="20" customFormat="false" ht="15" hidden="false" customHeight="false" outlineLevel="0" collapsed="false">
      <c r="A20" s="24" t="s">
        <v>324</v>
      </c>
      <c r="B20" s="27" t="s">
        <v>323</v>
      </c>
      <c r="C20" s="27" t="n">
        <v>2005</v>
      </c>
      <c r="D20" s="22" t="s">
        <v>321</v>
      </c>
      <c r="E20" s="22" t="s">
        <v>1823</v>
      </c>
    </row>
    <row r="21" customFormat="false" ht="15" hidden="false" customHeight="false" outlineLevel="0" collapsed="false">
      <c r="A21" s="24" t="s">
        <v>822</v>
      </c>
      <c r="B21" s="27" t="s">
        <v>821</v>
      </c>
      <c r="C21" s="27" t="n">
        <v>2007</v>
      </c>
      <c r="D21" s="22" t="s">
        <v>819</v>
      </c>
      <c r="E21" s="22" t="s">
        <v>1823</v>
      </c>
    </row>
    <row r="22" customFormat="false" ht="15" hidden="false" customHeight="false" outlineLevel="0" collapsed="false">
      <c r="A22" s="24" t="s">
        <v>1383</v>
      </c>
      <c r="B22" s="27" t="s">
        <v>1382</v>
      </c>
      <c r="C22" s="27" t="n">
        <v>2010</v>
      </c>
      <c r="D22" s="22" t="s">
        <v>1381</v>
      </c>
      <c r="E22" s="22" t="s">
        <v>1823</v>
      </c>
    </row>
    <row r="23" customFormat="false" ht="15" hidden="false" customHeight="false" outlineLevel="0" collapsed="false">
      <c r="A23" s="24" t="s">
        <v>331</v>
      </c>
      <c r="B23" s="27" t="s">
        <v>330</v>
      </c>
      <c r="C23" s="27" t="n">
        <v>2020</v>
      </c>
      <c r="D23" s="22" t="s">
        <v>328</v>
      </c>
      <c r="E23" s="22" t="s">
        <v>1823</v>
      </c>
    </row>
    <row r="24" customFormat="false" ht="15" hidden="false" customHeight="false" outlineLevel="0" collapsed="false">
      <c r="A24" s="24" t="s">
        <v>1827</v>
      </c>
      <c r="B24" s="27" t="s">
        <v>1828</v>
      </c>
      <c r="C24" s="27" t="n">
        <v>2020</v>
      </c>
      <c r="D24" s="22" t="s">
        <v>1804</v>
      </c>
      <c r="E24" s="22" t="s">
        <v>1823</v>
      </c>
    </row>
    <row r="25" customFormat="false" ht="15" hidden="false" customHeight="false" outlineLevel="0" collapsed="false">
      <c r="A25" s="24" t="s">
        <v>816</v>
      </c>
      <c r="B25" s="27" t="s">
        <v>815</v>
      </c>
      <c r="C25" s="27" t="n">
        <v>2001</v>
      </c>
      <c r="D25" s="22" t="s">
        <v>814</v>
      </c>
      <c r="E25" s="22" t="s">
        <v>1823</v>
      </c>
    </row>
    <row r="26" customFormat="false" ht="15" hidden="false" customHeight="false" outlineLevel="0" collapsed="false">
      <c r="A26" s="24" t="s">
        <v>1244</v>
      </c>
      <c r="B26" s="27" t="s">
        <v>1243</v>
      </c>
      <c r="C26" s="27" t="n">
        <v>2005</v>
      </c>
      <c r="D26" s="22" t="s">
        <v>1829</v>
      </c>
      <c r="E26" s="22" t="s">
        <v>1823</v>
      </c>
    </row>
    <row r="27" customFormat="false" ht="15" hidden="false" customHeight="false" outlineLevel="0" collapsed="false">
      <c r="A27" s="24" t="s">
        <v>297</v>
      </c>
      <c r="B27" s="27" t="s">
        <v>296</v>
      </c>
      <c r="C27" s="27" t="n">
        <v>2007</v>
      </c>
      <c r="D27" s="22" t="s">
        <v>295</v>
      </c>
      <c r="E27" s="22" t="s">
        <v>1823</v>
      </c>
    </row>
    <row r="28" customFormat="false" ht="15" hidden="false" customHeight="false" outlineLevel="0" collapsed="false">
      <c r="A28" s="24" t="s">
        <v>840</v>
      </c>
      <c r="B28" s="27" t="s">
        <v>839</v>
      </c>
      <c r="C28" s="27" t="n">
        <v>2015</v>
      </c>
      <c r="D28" s="22" t="s">
        <v>837</v>
      </c>
      <c r="E28" s="22" t="s">
        <v>1823</v>
      </c>
    </row>
    <row r="29" customFormat="false" ht="15" hidden="false" customHeight="false" outlineLevel="0" collapsed="false">
      <c r="A29" s="24" t="s">
        <v>1169</v>
      </c>
      <c r="B29" s="27" t="s">
        <v>1168</v>
      </c>
      <c r="C29" s="27" t="n">
        <v>2018</v>
      </c>
      <c r="D29" s="22" t="s">
        <v>1166</v>
      </c>
      <c r="E29" s="22" t="s">
        <v>1823</v>
      </c>
    </row>
    <row r="30" customFormat="false" ht="15" hidden="false" customHeight="false" outlineLevel="0" collapsed="false">
      <c r="A30" s="24" t="s">
        <v>104</v>
      </c>
      <c r="B30" s="27" t="s">
        <v>103</v>
      </c>
      <c r="C30" s="27" t="n">
        <v>2009</v>
      </c>
      <c r="D30" s="22" t="s">
        <v>1830</v>
      </c>
      <c r="E30" s="22" t="s">
        <v>1823</v>
      </c>
    </row>
    <row r="31" customFormat="false" ht="15" hidden="false" customHeight="false" outlineLevel="0" collapsed="false">
      <c r="A31" s="24" t="s">
        <v>1398</v>
      </c>
      <c r="B31" s="27" t="s">
        <v>1397</v>
      </c>
      <c r="C31" s="27" t="n">
        <v>2017</v>
      </c>
      <c r="D31" s="22" t="s">
        <v>1395</v>
      </c>
      <c r="E31" s="22" t="s">
        <v>1823</v>
      </c>
    </row>
    <row r="32" customFormat="false" ht="15" hidden="false" customHeight="false" outlineLevel="0" collapsed="false">
      <c r="A32" s="24" t="s">
        <v>637</v>
      </c>
      <c r="B32" s="27" t="s">
        <v>636</v>
      </c>
      <c r="C32" s="27" t="n">
        <v>2009</v>
      </c>
      <c r="D32" s="22" t="s">
        <v>635</v>
      </c>
      <c r="E32" s="22" t="s">
        <v>1823</v>
      </c>
    </row>
    <row r="33" customFormat="false" ht="15" hidden="false" customHeight="false" outlineLevel="0" collapsed="false">
      <c r="A33" s="24" t="s">
        <v>1014</v>
      </c>
      <c r="B33" s="27" t="s">
        <v>1013</v>
      </c>
      <c r="C33" s="27" t="n">
        <v>2009</v>
      </c>
      <c r="D33" s="22" t="s">
        <v>1012</v>
      </c>
      <c r="E33" s="22" t="s">
        <v>1823</v>
      </c>
    </row>
    <row r="34" customFormat="false" ht="15" hidden="false" customHeight="false" outlineLevel="0" collapsed="false">
      <c r="A34" s="24" t="s">
        <v>1071</v>
      </c>
      <c r="B34" s="27" t="s">
        <v>1070</v>
      </c>
      <c r="C34" s="27" t="n">
        <v>2013</v>
      </c>
      <c r="D34" s="22" t="s">
        <v>1069</v>
      </c>
      <c r="E34" s="22" t="s">
        <v>1823</v>
      </c>
    </row>
    <row r="35" customFormat="false" ht="15" hidden="false" customHeight="false" outlineLevel="0" collapsed="false">
      <c r="A35" s="24" t="s">
        <v>652</v>
      </c>
      <c r="B35" s="27" t="s">
        <v>651</v>
      </c>
      <c r="C35" s="27" t="n">
        <v>1996</v>
      </c>
      <c r="D35" s="22" t="s">
        <v>649</v>
      </c>
      <c r="E35" s="22" t="s">
        <v>1823</v>
      </c>
    </row>
    <row r="36" customFormat="false" ht="15" hidden="false" customHeight="false" outlineLevel="0" collapsed="false">
      <c r="A36" s="24" t="s">
        <v>1831</v>
      </c>
      <c r="B36" s="27" t="s">
        <v>1832</v>
      </c>
      <c r="C36" s="27" t="n">
        <v>2025</v>
      </c>
      <c r="D36" s="22" t="s">
        <v>1808</v>
      </c>
      <c r="E36" s="22" t="s">
        <v>1823</v>
      </c>
    </row>
    <row r="37" customFormat="false" ht="15" hidden="false" customHeight="false" outlineLevel="0" collapsed="false">
      <c r="A37" s="24" t="s">
        <v>1667</v>
      </c>
      <c r="B37" s="27" t="s">
        <v>1666</v>
      </c>
      <c r="C37" s="27" t="n">
        <v>2013</v>
      </c>
      <c r="D37" s="22" t="s">
        <v>1664</v>
      </c>
      <c r="E37" s="22" t="s">
        <v>1823</v>
      </c>
    </row>
    <row r="38" customFormat="false" ht="15" hidden="false" customHeight="false" outlineLevel="0" collapsed="false">
      <c r="A38" s="24" t="s">
        <v>221</v>
      </c>
      <c r="B38" s="27" t="s">
        <v>220</v>
      </c>
      <c r="C38" s="27" t="n">
        <v>2005</v>
      </c>
      <c r="D38" s="22" t="s">
        <v>217</v>
      </c>
      <c r="E38" s="22" t="s">
        <v>1823</v>
      </c>
    </row>
    <row r="39" customFormat="false" ht="15" hidden="false" customHeight="false" outlineLevel="0" collapsed="false">
      <c r="A39" s="24" t="s">
        <v>1589</v>
      </c>
      <c r="B39" s="27" t="s">
        <v>1588</v>
      </c>
      <c r="C39" s="27" t="n">
        <v>2004</v>
      </c>
      <c r="D39" s="22" t="s">
        <v>1587</v>
      </c>
      <c r="E39" s="22" t="s">
        <v>1823</v>
      </c>
    </row>
    <row r="40" customFormat="false" ht="15" hidden="false" customHeight="false" outlineLevel="0" collapsed="false">
      <c r="A40" s="24" t="s">
        <v>615</v>
      </c>
      <c r="B40" s="27" t="s">
        <v>614</v>
      </c>
      <c r="C40" s="27" t="n">
        <v>2022</v>
      </c>
      <c r="D40" s="22" t="s">
        <v>612</v>
      </c>
      <c r="E40" s="22" t="s">
        <v>1823</v>
      </c>
    </row>
    <row r="41" customFormat="false" ht="15" hidden="false" customHeight="false" outlineLevel="0" collapsed="false">
      <c r="A41" s="24" t="s">
        <v>390</v>
      </c>
      <c r="B41" s="27" t="s">
        <v>389</v>
      </c>
      <c r="C41" s="27" t="n">
        <v>2017</v>
      </c>
      <c r="D41" s="22" t="s">
        <v>387</v>
      </c>
      <c r="E41" s="22" t="s">
        <v>1823</v>
      </c>
    </row>
    <row r="42" customFormat="false" ht="15" hidden="false" customHeight="false" outlineLevel="0" collapsed="false">
      <c r="A42" s="24" t="s">
        <v>378</v>
      </c>
      <c r="B42" s="27" t="s">
        <v>377</v>
      </c>
      <c r="C42" s="27" t="n">
        <v>1983</v>
      </c>
      <c r="D42" s="22" t="s">
        <v>376</v>
      </c>
      <c r="E42" s="22" t="s">
        <v>1823</v>
      </c>
    </row>
    <row r="43" customFormat="false" ht="15" hidden="false" customHeight="false" outlineLevel="0" collapsed="false">
      <c r="A43" s="24" t="s">
        <v>269</v>
      </c>
      <c r="B43" s="27" t="s">
        <v>268</v>
      </c>
      <c r="C43" s="27" t="n">
        <v>2024</v>
      </c>
      <c r="D43" s="22" t="s">
        <v>1833</v>
      </c>
      <c r="E43" s="22" t="s">
        <v>1823</v>
      </c>
    </row>
    <row r="44" customFormat="false" ht="15" hidden="false" customHeight="false" outlineLevel="0" collapsed="false">
      <c r="A44" s="24" t="s">
        <v>900</v>
      </c>
      <c r="B44" s="27" t="s">
        <v>899</v>
      </c>
      <c r="C44" s="27" t="n">
        <v>2009</v>
      </c>
      <c r="D44" s="22" t="s">
        <v>898</v>
      </c>
      <c r="E44" s="22" t="s">
        <v>1823</v>
      </c>
    </row>
    <row r="45" customFormat="false" ht="15" hidden="false" customHeight="false" outlineLevel="0" collapsed="false">
      <c r="A45" s="24" t="s">
        <v>1534</v>
      </c>
      <c r="B45" s="27" t="s">
        <v>1533</v>
      </c>
      <c r="C45" s="27" t="n">
        <v>2024</v>
      </c>
      <c r="D45" s="22" t="s">
        <v>1532</v>
      </c>
      <c r="E45" s="22" t="s">
        <v>1823</v>
      </c>
    </row>
    <row r="46" customFormat="false" ht="15" hidden="false" customHeight="false" outlineLevel="0" collapsed="false">
      <c r="A46" s="24" t="s">
        <v>80</v>
      </c>
      <c r="B46" s="27" t="s">
        <v>79</v>
      </c>
      <c r="C46" s="27" t="n">
        <v>2017</v>
      </c>
      <c r="D46" s="22" t="s">
        <v>1834</v>
      </c>
      <c r="E46" s="22" t="s">
        <v>1823</v>
      </c>
    </row>
    <row r="47" customFormat="false" ht="15" hidden="false" customHeight="false" outlineLevel="0" collapsed="false">
      <c r="A47" s="24" t="s">
        <v>1641</v>
      </c>
      <c r="B47" s="27" t="s">
        <v>1640</v>
      </c>
      <c r="C47" s="27" t="n">
        <v>2024</v>
      </c>
      <c r="D47" s="22" t="s">
        <v>1639</v>
      </c>
      <c r="E47" s="22" t="s">
        <v>1823</v>
      </c>
    </row>
    <row r="48" customFormat="false" ht="15" hidden="false" customHeight="false" outlineLevel="0" collapsed="false">
      <c r="A48" s="24" t="s">
        <v>1332</v>
      </c>
      <c r="B48" s="27" t="s">
        <v>1331</v>
      </c>
      <c r="C48" s="27" t="n">
        <v>2009</v>
      </c>
      <c r="D48" s="22" t="s">
        <v>1835</v>
      </c>
      <c r="E48" s="22" t="s">
        <v>1823</v>
      </c>
    </row>
    <row r="49" customFormat="false" ht="15" hidden="false" customHeight="false" outlineLevel="0" collapsed="false">
      <c r="A49" s="24" t="s">
        <v>683</v>
      </c>
      <c r="B49" s="27" t="s">
        <v>682</v>
      </c>
      <c r="C49" s="27" t="n">
        <v>2006</v>
      </c>
      <c r="D49" s="22" t="s">
        <v>680</v>
      </c>
      <c r="E49" s="22" t="s">
        <v>1823</v>
      </c>
    </row>
    <row r="50" customFormat="false" ht="15" hidden="false" customHeight="false" outlineLevel="0" collapsed="false">
      <c r="A50" s="24" t="s">
        <v>1327</v>
      </c>
      <c r="B50" s="27" t="s">
        <v>1326</v>
      </c>
      <c r="C50" s="27" t="n">
        <v>2006</v>
      </c>
      <c r="D50" s="22" t="s">
        <v>1325</v>
      </c>
      <c r="E50" s="22" t="s">
        <v>1823</v>
      </c>
    </row>
    <row r="51" customFormat="false" ht="15" hidden="false" customHeight="false" outlineLevel="0" collapsed="false">
      <c r="A51" s="24" t="s">
        <v>1544</v>
      </c>
      <c r="B51" s="27" t="s">
        <v>1543</v>
      </c>
      <c r="C51" s="27" t="n">
        <v>2015</v>
      </c>
      <c r="D51" s="22" t="s">
        <v>1836</v>
      </c>
      <c r="E51" s="22" t="s">
        <v>1823</v>
      </c>
    </row>
    <row r="52" customFormat="false" ht="15" hidden="false" customHeight="false" outlineLevel="0" collapsed="false">
      <c r="A52" s="24" t="s">
        <v>1837</v>
      </c>
      <c r="B52" s="27" t="s">
        <v>1838</v>
      </c>
      <c r="C52" s="27" t="n">
        <v>2024</v>
      </c>
      <c r="D52" s="22" t="s">
        <v>1812</v>
      </c>
      <c r="E52" s="22" t="s">
        <v>1823</v>
      </c>
    </row>
    <row r="53" customFormat="false" ht="15" hidden="false" customHeight="false" outlineLevel="0" collapsed="false">
      <c r="A53" s="24" t="s">
        <v>1412</v>
      </c>
      <c r="B53" s="27" t="s">
        <v>1411</v>
      </c>
      <c r="C53" s="27" t="n">
        <v>2014</v>
      </c>
      <c r="D53" s="22" t="s">
        <v>1410</v>
      </c>
      <c r="E53" s="22" t="s">
        <v>1823</v>
      </c>
    </row>
    <row r="54" customFormat="false" ht="15" hidden="false" customHeight="false" outlineLevel="0" collapsed="false">
      <c r="A54" s="24" t="s">
        <v>1348</v>
      </c>
      <c r="B54" s="27" t="s">
        <v>1347</v>
      </c>
      <c r="C54" s="27" t="n">
        <v>2026</v>
      </c>
      <c r="D54" s="22" t="s">
        <v>1346</v>
      </c>
      <c r="E54" s="22" t="s">
        <v>1823</v>
      </c>
    </row>
    <row r="55" customFormat="false" ht="15" hidden="false" customHeight="false" outlineLevel="0" collapsed="false">
      <c r="A55" s="24" t="s">
        <v>180</v>
      </c>
      <c r="B55" s="27" t="s">
        <v>179</v>
      </c>
      <c r="C55" s="27" t="n">
        <v>2005</v>
      </c>
      <c r="D55" s="22" t="s">
        <v>176</v>
      </c>
      <c r="E55" s="22" t="s">
        <v>1823</v>
      </c>
    </row>
    <row r="56" customFormat="false" ht="15" hidden="false" customHeight="false" outlineLevel="0" collapsed="false">
      <c r="A56" s="24" t="s">
        <v>1061</v>
      </c>
      <c r="B56" s="27" t="s">
        <v>1060</v>
      </c>
      <c r="C56" s="27" t="n">
        <v>2005</v>
      </c>
      <c r="D56" s="22" t="s">
        <v>1058</v>
      </c>
      <c r="E56" s="22" t="s">
        <v>1823</v>
      </c>
    </row>
    <row r="57" customFormat="false" ht="15" hidden="false" customHeight="false" outlineLevel="0" collapsed="false">
      <c r="A57" s="24" t="s">
        <v>1448</v>
      </c>
      <c r="B57" s="27" t="s">
        <v>1447</v>
      </c>
      <c r="C57" s="27" t="n">
        <v>2015</v>
      </c>
      <c r="D57" s="22" t="s">
        <v>1446</v>
      </c>
      <c r="E57" s="22" t="s">
        <v>1823</v>
      </c>
    </row>
    <row r="58" customFormat="false" ht="15" hidden="false" customHeight="false" outlineLevel="0" collapsed="false">
      <c r="A58" s="24" t="s">
        <v>196</v>
      </c>
      <c r="B58" s="27" t="s">
        <v>195</v>
      </c>
      <c r="C58" s="27" t="n">
        <v>2009</v>
      </c>
      <c r="D58" s="22" t="s">
        <v>193</v>
      </c>
      <c r="E58" s="22" t="s">
        <v>1823</v>
      </c>
    </row>
    <row r="59" customFormat="false" ht="15" hidden="false" customHeight="false" outlineLevel="0" collapsed="false">
      <c r="A59" s="24" t="s">
        <v>505</v>
      </c>
      <c r="B59" s="27" t="s">
        <v>504</v>
      </c>
      <c r="C59" s="27" t="n">
        <v>2019</v>
      </c>
      <c r="D59" s="22" t="s">
        <v>503</v>
      </c>
      <c r="E59" s="22" t="s">
        <v>1823</v>
      </c>
    </row>
    <row r="60" customFormat="false" ht="15" hidden="false" customHeight="false" outlineLevel="0" collapsed="false">
      <c r="A60" s="24" t="s">
        <v>1107</v>
      </c>
      <c r="B60" s="27" t="s">
        <v>1106</v>
      </c>
      <c r="C60" s="27" t="n">
        <v>2021</v>
      </c>
      <c r="D60" s="22" t="s">
        <v>1105</v>
      </c>
      <c r="E60" s="22" t="s">
        <v>1823</v>
      </c>
    </row>
    <row r="61" customFormat="false" ht="15" hidden="false" customHeight="false" outlineLevel="0" collapsed="false">
      <c r="A61" s="24" t="s">
        <v>667</v>
      </c>
      <c r="B61" s="27" t="s">
        <v>666</v>
      </c>
      <c r="C61" s="27" t="n">
        <v>2019</v>
      </c>
      <c r="D61" s="22" t="s">
        <v>1839</v>
      </c>
      <c r="E61" s="22" t="s">
        <v>1823</v>
      </c>
    </row>
    <row r="62" customFormat="false" ht="15" hidden="false" customHeight="false" outlineLevel="0" collapsed="false">
      <c r="A62" s="24" t="s">
        <v>362</v>
      </c>
      <c r="B62" s="27" t="s">
        <v>361</v>
      </c>
      <c r="C62" s="27" t="n">
        <v>2020</v>
      </c>
      <c r="D62" s="22" t="s">
        <v>359</v>
      </c>
      <c r="E62" s="22" t="s">
        <v>1823</v>
      </c>
    </row>
    <row r="63" customFormat="false" ht="15" hidden="false" customHeight="false" outlineLevel="0" collapsed="false">
      <c r="A63" s="24" t="s">
        <v>743</v>
      </c>
      <c r="B63" s="27" t="s">
        <v>742</v>
      </c>
      <c r="C63" s="27" t="n">
        <v>2008</v>
      </c>
      <c r="D63" s="22" t="s">
        <v>741</v>
      </c>
      <c r="E63" s="22" t="s">
        <v>1823</v>
      </c>
    </row>
    <row r="64" customFormat="false" ht="15" hidden="false" customHeight="false" outlineLevel="0" collapsed="false">
      <c r="A64" s="24" t="s">
        <v>317</v>
      </c>
      <c r="B64" s="27" t="s">
        <v>316</v>
      </c>
      <c r="C64" s="27" t="n">
        <v>2008</v>
      </c>
      <c r="D64" s="22" t="s">
        <v>1840</v>
      </c>
      <c r="E64" s="22" t="s">
        <v>1823</v>
      </c>
    </row>
    <row r="65" customFormat="false" ht="15" hidden="false" customHeight="false" outlineLevel="0" collapsed="false">
      <c r="A65" s="24" t="s">
        <v>782</v>
      </c>
      <c r="B65" s="27" t="s">
        <v>781</v>
      </c>
      <c r="C65" s="27" t="n">
        <v>2014</v>
      </c>
      <c r="D65" s="22" t="s">
        <v>779</v>
      </c>
      <c r="E65" s="22" t="s">
        <v>1823</v>
      </c>
    </row>
    <row r="66" customFormat="false" ht="15" hidden="false" customHeight="false" outlineLevel="0" collapsed="false">
      <c r="A66" s="24" t="s">
        <v>880</v>
      </c>
      <c r="B66" s="27" t="s">
        <v>879</v>
      </c>
      <c r="C66" s="27" t="n">
        <v>2015</v>
      </c>
      <c r="D66" s="22" t="s">
        <v>877</v>
      </c>
      <c r="E66" s="22" t="s">
        <v>1823</v>
      </c>
    </row>
    <row r="67" customFormat="false" ht="15" hidden="false" customHeight="false" outlineLevel="0" collapsed="false">
      <c r="A67" s="24" t="s">
        <v>1493</v>
      </c>
      <c r="B67" s="27" t="s">
        <v>1492</v>
      </c>
      <c r="C67" s="27" t="n">
        <v>2016</v>
      </c>
      <c r="D67" s="22" t="s">
        <v>1491</v>
      </c>
      <c r="E67" s="22" t="s">
        <v>1823</v>
      </c>
    </row>
    <row r="68" customFormat="false" ht="15" hidden="false" customHeight="false" outlineLevel="0" collapsed="false">
      <c r="A68" s="24" t="s">
        <v>149</v>
      </c>
      <c r="B68" s="27" t="s">
        <v>148</v>
      </c>
      <c r="C68" s="27" t="n">
        <v>2017</v>
      </c>
      <c r="D68" s="22" t="s">
        <v>1841</v>
      </c>
      <c r="E68" s="22" t="s">
        <v>1823</v>
      </c>
    </row>
    <row r="69" customFormat="false" ht="15" hidden="false" customHeight="false" outlineLevel="0" collapsed="false">
      <c r="A69" s="24" t="s">
        <v>794</v>
      </c>
      <c r="B69" s="27" t="s">
        <v>793</v>
      </c>
      <c r="C69" s="27" t="n">
        <v>2023</v>
      </c>
      <c r="D69" s="22" t="s">
        <v>1842</v>
      </c>
      <c r="E69" s="22" t="s">
        <v>1823</v>
      </c>
    </row>
    <row r="70" customFormat="false" ht="15" hidden="false" customHeight="false" outlineLevel="0" collapsed="false">
      <c r="A70" s="24" t="s">
        <v>570</v>
      </c>
      <c r="B70" s="27" t="s">
        <v>569</v>
      </c>
      <c r="C70" s="27" t="n">
        <v>2025</v>
      </c>
      <c r="D70" s="22" t="s">
        <v>568</v>
      </c>
      <c r="E70" s="22" t="s">
        <v>1823</v>
      </c>
    </row>
    <row r="71" customFormat="false" ht="15" hidden="false" customHeight="false" outlineLevel="0" collapsed="false">
      <c r="A71" s="24" t="s">
        <v>114</v>
      </c>
      <c r="B71" s="27" t="s">
        <v>113</v>
      </c>
      <c r="C71" s="27" t="n">
        <v>2019</v>
      </c>
      <c r="D71" s="22" t="s">
        <v>1843</v>
      </c>
      <c r="E71" s="22" t="s">
        <v>1823</v>
      </c>
    </row>
    <row r="72" customFormat="false" ht="15" hidden="false" customHeight="false" outlineLevel="0" collapsed="false">
      <c r="A72" s="24" t="s">
        <v>1130</v>
      </c>
      <c r="B72" s="27" t="s">
        <v>1129</v>
      </c>
      <c r="C72" s="27" t="n">
        <v>2022</v>
      </c>
      <c r="D72" s="22" t="s">
        <v>1844</v>
      </c>
      <c r="E72" s="22" t="s">
        <v>1823</v>
      </c>
    </row>
    <row r="73" customFormat="false" ht="15" hidden="false" customHeight="false" outlineLevel="0" collapsed="false">
      <c r="A73" s="24" t="s">
        <v>497</v>
      </c>
      <c r="B73" s="27" t="s">
        <v>496</v>
      </c>
      <c r="C73" s="27" t="n">
        <v>2020</v>
      </c>
      <c r="D73" s="22" t="s">
        <v>495</v>
      </c>
      <c r="E73" s="22" t="s">
        <v>1823</v>
      </c>
    </row>
    <row r="74" customFormat="false" ht="15" hidden="false" customHeight="false" outlineLevel="0" collapsed="false">
      <c r="A74" s="24" t="s">
        <v>1253</v>
      </c>
      <c r="B74" s="27" t="s">
        <v>1252</v>
      </c>
      <c r="C74" s="27" t="n">
        <v>2010</v>
      </c>
      <c r="D74" s="22" t="s">
        <v>1251</v>
      </c>
      <c r="E74" s="22" t="s">
        <v>1823</v>
      </c>
    </row>
    <row r="75" customFormat="false" ht="15" hidden="false" customHeight="false" outlineLevel="0" collapsed="false">
      <c r="A75" s="24" t="s">
        <v>1578</v>
      </c>
      <c r="B75" s="27" t="s">
        <v>1577</v>
      </c>
      <c r="C75" s="27" t="n">
        <v>2015</v>
      </c>
      <c r="D75" s="22" t="s">
        <v>1576</v>
      </c>
      <c r="E75" s="22" t="s">
        <v>1823</v>
      </c>
    </row>
    <row r="76" customFormat="false" ht="15" hidden="false" customHeight="false" outlineLevel="0" collapsed="false">
      <c r="A76" s="24" t="s">
        <v>354</v>
      </c>
      <c r="B76" s="27" t="s">
        <v>353</v>
      </c>
      <c r="C76" s="27" t="n">
        <v>2005</v>
      </c>
      <c r="D76" s="22" t="s">
        <v>350</v>
      </c>
      <c r="E76" s="22" t="s">
        <v>1823</v>
      </c>
    </row>
    <row r="77" customFormat="false" ht="15" hidden="false" customHeight="false" outlineLevel="0" collapsed="false">
      <c r="A77" s="24" t="s">
        <v>714</v>
      </c>
      <c r="B77" s="27" t="s">
        <v>713</v>
      </c>
      <c r="C77" s="27" t="n">
        <v>2010</v>
      </c>
      <c r="D77" s="22" t="s">
        <v>1845</v>
      </c>
      <c r="E77" s="22" t="s">
        <v>1823</v>
      </c>
    </row>
    <row r="78" customFormat="false" ht="15" hidden="false" customHeight="false" outlineLevel="0" collapsed="false">
      <c r="A78" s="24" t="s">
        <v>1630</v>
      </c>
      <c r="B78" s="27" t="s">
        <v>1629</v>
      </c>
      <c r="C78" s="27" t="n">
        <v>2002</v>
      </c>
      <c r="D78" s="22" t="s">
        <v>1628</v>
      </c>
      <c r="E78" s="22" t="s">
        <v>1823</v>
      </c>
    </row>
    <row r="79" customFormat="false" ht="15" hidden="false" customHeight="false" outlineLevel="0" collapsed="false">
      <c r="A79" s="24" t="s">
        <v>855</v>
      </c>
      <c r="B79" s="27" t="s">
        <v>854</v>
      </c>
      <c r="C79" s="27" t="n">
        <v>2003</v>
      </c>
      <c r="D79" s="22" t="s">
        <v>852</v>
      </c>
      <c r="E79" s="22" t="s">
        <v>1823</v>
      </c>
    </row>
    <row r="80" customFormat="false" ht="15" hidden="false" customHeight="false" outlineLevel="0" collapsed="false">
      <c r="A80" s="24" t="s">
        <v>1281</v>
      </c>
      <c r="B80" s="27" t="s">
        <v>1280</v>
      </c>
      <c r="C80" s="27" t="n">
        <v>2001</v>
      </c>
      <c r="D80" s="22" t="s">
        <v>1279</v>
      </c>
      <c r="E80" s="22" t="s">
        <v>1823</v>
      </c>
    </row>
    <row r="81" customFormat="false" ht="15" hidden="false" customHeight="false" outlineLevel="0" collapsed="false">
      <c r="A81" s="24" t="s">
        <v>1314</v>
      </c>
      <c r="B81" s="27" t="s">
        <v>1313</v>
      </c>
      <c r="C81" s="27" t="n">
        <v>1994</v>
      </c>
      <c r="D81" s="22" t="s">
        <v>1846</v>
      </c>
      <c r="E81" s="22" t="s">
        <v>1823</v>
      </c>
    </row>
    <row r="82" customFormat="false" ht="15" hidden="false" customHeight="false" outlineLevel="0" collapsed="false">
      <c r="A82" s="24" t="s">
        <v>1610</v>
      </c>
      <c r="B82" s="27" t="s">
        <v>1609</v>
      </c>
      <c r="C82" s="27" t="n">
        <v>2017</v>
      </c>
      <c r="D82" s="22" t="s">
        <v>1608</v>
      </c>
      <c r="E82" s="22" t="s">
        <v>1823</v>
      </c>
    </row>
    <row r="83" customFormat="false" ht="15" hidden="false" customHeight="false" outlineLevel="0" collapsed="false">
      <c r="A83" s="24" t="s">
        <v>305</v>
      </c>
      <c r="B83" s="27" t="s">
        <v>304</v>
      </c>
      <c r="C83" s="27" t="n">
        <v>2017</v>
      </c>
      <c r="D83" s="22" t="s">
        <v>1847</v>
      </c>
      <c r="E83" s="22" t="s">
        <v>1823</v>
      </c>
    </row>
    <row r="84" customFormat="false" ht="15" hidden="false" customHeight="false" outlineLevel="0" collapsed="false">
      <c r="A84" s="24" t="s">
        <v>559</v>
      </c>
      <c r="B84" s="27" t="s">
        <v>558</v>
      </c>
      <c r="C84" s="27" t="n">
        <v>2000</v>
      </c>
      <c r="D84" s="22" t="s">
        <v>1848</v>
      </c>
      <c r="E84" s="22" t="s">
        <v>1823</v>
      </c>
    </row>
    <row r="85" customFormat="false" ht="15" hidden="false" customHeight="false" outlineLevel="0" collapsed="false">
      <c r="A85" s="24" t="s">
        <v>696</v>
      </c>
      <c r="B85" s="27" t="s">
        <v>695</v>
      </c>
      <c r="C85" s="27" t="n">
        <v>2008</v>
      </c>
      <c r="D85" s="22" t="s">
        <v>694</v>
      </c>
      <c r="E85" s="22" t="s">
        <v>1823</v>
      </c>
    </row>
    <row r="86" customFormat="false" ht="15" hidden="false" customHeight="false" outlineLevel="0" collapsed="false">
      <c r="A86" s="24" t="s">
        <v>454</v>
      </c>
      <c r="B86" s="27" t="s">
        <v>453</v>
      </c>
      <c r="C86" s="27" t="n">
        <v>2010</v>
      </c>
      <c r="D86" s="22" t="s">
        <v>451</v>
      </c>
      <c r="E86" s="22" t="s">
        <v>1823</v>
      </c>
    </row>
    <row r="87" customFormat="false" ht="15" hidden="false" customHeight="false" outlineLevel="0" collapsed="false">
      <c r="A87" s="24" t="s">
        <v>753</v>
      </c>
      <c r="B87" s="27" t="s">
        <v>752</v>
      </c>
      <c r="C87" s="27" t="n">
        <v>2014</v>
      </c>
      <c r="D87" s="22" t="s">
        <v>751</v>
      </c>
      <c r="E87" s="22" t="s">
        <v>1823</v>
      </c>
    </row>
    <row r="88" customFormat="false" ht="15" hidden="false" customHeight="false" outlineLevel="0" collapsed="false">
      <c r="A88" s="24" t="s">
        <v>373</v>
      </c>
      <c r="B88" s="27" t="s">
        <v>372</v>
      </c>
      <c r="C88" s="27" t="n">
        <v>2020</v>
      </c>
      <c r="D88" s="22" t="s">
        <v>370</v>
      </c>
      <c r="E88" s="22" t="s">
        <v>1823</v>
      </c>
    </row>
    <row r="89" customFormat="false" ht="23.85" hidden="false" customHeight="false" outlineLevel="0" collapsed="false">
      <c r="A89" s="24" t="s">
        <v>405</v>
      </c>
      <c r="B89" s="27" t="s">
        <v>404</v>
      </c>
      <c r="C89" s="27" t="n">
        <v>2022</v>
      </c>
      <c r="D89" s="22" t="s">
        <v>1849</v>
      </c>
      <c r="E89" s="22" t="s">
        <v>1823</v>
      </c>
    </row>
    <row r="90" customFormat="false" ht="15" hidden="false" customHeight="false" outlineLevel="0" collapsed="false">
      <c r="A90" s="24" t="s">
        <v>416</v>
      </c>
      <c r="B90" s="27" t="s">
        <v>415</v>
      </c>
      <c r="C90" s="27" t="n">
        <v>2024</v>
      </c>
      <c r="D90" s="22" t="s">
        <v>414</v>
      </c>
      <c r="E90" s="22" t="s">
        <v>1823</v>
      </c>
    </row>
    <row r="91" customFormat="false" ht="15" hidden="false" customHeight="false" outlineLevel="0" collapsed="false">
      <c r="A91" s="24" t="s">
        <v>868</v>
      </c>
      <c r="B91" s="27" t="s">
        <v>867</v>
      </c>
      <c r="C91" s="27" t="n">
        <v>2018</v>
      </c>
      <c r="D91" s="22" t="s">
        <v>1850</v>
      </c>
      <c r="E91" s="22" t="s">
        <v>1823</v>
      </c>
    </row>
    <row r="92" customFormat="false" ht="15" hidden="false" customHeight="false" outlineLevel="0" collapsed="false">
      <c r="A92" s="24" t="s">
        <v>1182</v>
      </c>
      <c r="B92" s="27" t="s">
        <v>1181</v>
      </c>
      <c r="C92" s="27" t="n">
        <v>2021</v>
      </c>
      <c r="D92" s="22" t="s">
        <v>1851</v>
      </c>
      <c r="E92" s="22" t="s">
        <v>1823</v>
      </c>
    </row>
    <row r="93" customFormat="false" ht="15" hidden="false" customHeight="false" outlineLevel="0" collapsed="false">
      <c r="A93" s="24" t="s">
        <v>1852</v>
      </c>
      <c r="B93" s="27" t="s">
        <v>1853</v>
      </c>
      <c r="C93" s="27" t="n">
        <v>2019</v>
      </c>
      <c r="D93" s="22" t="s">
        <v>1099</v>
      </c>
      <c r="E93" s="22" t="s">
        <v>1823</v>
      </c>
    </row>
    <row r="94" customFormat="false" ht="15" hidden="false" customHeight="false" outlineLevel="0" collapsed="false">
      <c r="A94" s="24" t="s">
        <v>735</v>
      </c>
      <c r="B94" s="27" t="s">
        <v>734</v>
      </c>
      <c r="C94" s="27" t="n">
        <v>2020</v>
      </c>
      <c r="D94" s="22" t="s">
        <v>733</v>
      </c>
      <c r="E94" s="22" t="s">
        <v>1823</v>
      </c>
    </row>
    <row r="95" customFormat="false" ht="15" hidden="false" customHeight="false" outlineLevel="0" collapsed="false">
      <c r="A95" s="24" t="s">
        <v>1653</v>
      </c>
      <c r="B95" s="27" t="s">
        <v>1652</v>
      </c>
      <c r="C95" s="27" t="n">
        <v>2025</v>
      </c>
      <c r="D95" s="22" t="s">
        <v>1854</v>
      </c>
      <c r="E95" s="22" t="s">
        <v>1823</v>
      </c>
    </row>
    <row r="96" customFormat="false" ht="15" hidden="false" customHeight="false" outlineLevel="0" collapsed="false">
      <c r="A96" s="24" t="s">
        <v>1855</v>
      </c>
      <c r="B96" s="27" t="s">
        <v>1856</v>
      </c>
      <c r="C96" s="27" t="n">
        <v>2023</v>
      </c>
      <c r="D96" s="22" t="s">
        <v>232</v>
      </c>
      <c r="E96" s="22" t="s">
        <v>1823</v>
      </c>
    </row>
    <row r="97" customFormat="false" ht="23.85" hidden="false" customHeight="false" outlineLevel="0" collapsed="false">
      <c r="A97" s="24" t="s">
        <v>861</v>
      </c>
      <c r="B97" s="27" t="s">
        <v>860</v>
      </c>
      <c r="C97" s="27" t="n">
        <v>2017</v>
      </c>
      <c r="D97" s="22" t="s">
        <v>1857</v>
      </c>
      <c r="E97" s="22" t="s">
        <v>1823</v>
      </c>
    </row>
    <row r="98" customFormat="false" ht="15" hidden="false" customHeight="false" outlineLevel="0" collapsed="false">
      <c r="A98" s="24" t="s">
        <v>251</v>
      </c>
      <c r="B98" s="27" t="s">
        <v>250</v>
      </c>
      <c r="C98" s="27" t="n">
        <v>2021</v>
      </c>
      <c r="D98" s="22" t="s">
        <v>1858</v>
      </c>
      <c r="E98" s="22" t="s">
        <v>1823</v>
      </c>
    </row>
    <row r="99" customFormat="false" ht="15" hidden="false" customHeight="false" outlineLevel="0" collapsed="false">
      <c r="A99" s="24" t="s">
        <v>368</v>
      </c>
      <c r="B99" s="27" t="s">
        <v>367</v>
      </c>
      <c r="C99" s="27" t="n">
        <v>2021</v>
      </c>
      <c r="D99" s="22" t="s">
        <v>365</v>
      </c>
      <c r="E99" s="22" t="s">
        <v>1823</v>
      </c>
    </row>
    <row r="100" customFormat="false" ht="15" hidden="false" customHeight="false" outlineLevel="0" collapsed="false">
      <c r="A100" s="24" t="s">
        <v>206</v>
      </c>
      <c r="B100" s="27" t="s">
        <v>205</v>
      </c>
      <c r="C100" s="27" t="n">
        <v>2020</v>
      </c>
      <c r="D100" s="22" t="s">
        <v>203</v>
      </c>
      <c r="E100" s="22" t="s">
        <v>1823</v>
      </c>
    </row>
    <row r="101" customFormat="false" ht="15" hidden="false" customHeight="false" outlineLevel="0" collapsed="false">
      <c r="A101" s="24" t="s">
        <v>1032</v>
      </c>
      <c r="B101" s="27" t="s">
        <v>1031</v>
      </c>
      <c r="C101" s="27" t="n">
        <v>2006</v>
      </c>
      <c r="D101" s="22" t="s">
        <v>1030</v>
      </c>
      <c r="E101" s="22" t="s">
        <v>1823</v>
      </c>
    </row>
    <row r="102" customFormat="false" ht="15" hidden="false" customHeight="false" outlineLevel="0" collapsed="false">
      <c r="A102" s="24" t="s">
        <v>385</v>
      </c>
      <c r="B102" s="27" t="s">
        <v>384</v>
      </c>
      <c r="C102" s="27" t="n">
        <v>2006</v>
      </c>
      <c r="D102" s="22" t="s">
        <v>381</v>
      </c>
      <c r="E102" s="22" t="s">
        <v>1823</v>
      </c>
    </row>
    <row r="103" customFormat="false" ht="15" hidden="false" customHeight="false" outlineLevel="0" collapsed="false">
      <c r="A103" s="24" t="s">
        <v>290</v>
      </c>
      <c r="B103" s="27" t="s">
        <v>289</v>
      </c>
      <c r="C103" s="27" t="n">
        <v>2006</v>
      </c>
      <c r="D103" s="22" t="s">
        <v>287</v>
      </c>
      <c r="E103" s="22" t="s">
        <v>1823</v>
      </c>
    </row>
    <row r="104" customFormat="false" ht="15" hidden="false" customHeight="false" outlineLevel="0" collapsed="false">
      <c r="A104" s="24" t="s">
        <v>586</v>
      </c>
      <c r="B104" s="27" t="s">
        <v>585</v>
      </c>
      <c r="C104" s="27" t="n">
        <v>1999</v>
      </c>
      <c r="D104" s="22" t="s">
        <v>583</v>
      </c>
      <c r="E104" s="22" t="s">
        <v>1823</v>
      </c>
    </row>
    <row r="105" customFormat="false" ht="15" hidden="false" customHeight="false" outlineLevel="0" collapsed="false">
      <c r="A105" s="24" t="s">
        <v>610</v>
      </c>
      <c r="B105" s="27" t="s">
        <v>609</v>
      </c>
      <c r="C105" s="27" t="n">
        <v>2016</v>
      </c>
      <c r="D105" s="22" t="s">
        <v>1859</v>
      </c>
      <c r="E105" s="22" t="s">
        <v>1823</v>
      </c>
    </row>
    <row r="106" customFormat="false" ht="15" hidden="false" customHeight="false" outlineLevel="0" collapsed="false">
      <c r="A106" s="24" t="s">
        <v>421</v>
      </c>
      <c r="B106" s="27" t="s">
        <v>420</v>
      </c>
      <c r="C106" s="27" t="n">
        <v>2016</v>
      </c>
      <c r="D106" s="22" t="s">
        <v>418</v>
      </c>
      <c r="E106" s="22" t="s">
        <v>1823</v>
      </c>
    </row>
    <row r="107" customFormat="false" ht="15" hidden="false" customHeight="false" outlineLevel="0" collapsed="false">
      <c r="A107" s="24" t="s">
        <v>964</v>
      </c>
      <c r="B107" s="27" t="s">
        <v>963</v>
      </c>
      <c r="C107" s="27" t="n">
        <v>2019</v>
      </c>
      <c r="D107" s="22" t="s">
        <v>962</v>
      </c>
      <c r="E107" s="22" t="s">
        <v>1823</v>
      </c>
    </row>
    <row r="108" customFormat="false" ht="15" hidden="false" customHeight="false" outlineLevel="0" collapsed="false">
      <c r="A108" s="24" t="s">
        <v>662</v>
      </c>
      <c r="B108" s="27" t="s">
        <v>661</v>
      </c>
      <c r="C108" s="27" t="n">
        <v>2016</v>
      </c>
      <c r="D108" s="22" t="s">
        <v>660</v>
      </c>
      <c r="E108" s="22" t="s">
        <v>1823</v>
      </c>
    </row>
    <row r="109" customFormat="false" ht="15" hidden="false" customHeight="false" outlineLevel="0" collapsed="false">
      <c r="A109" s="24" t="s">
        <v>1174</v>
      </c>
      <c r="B109" s="27" t="s">
        <v>1173</v>
      </c>
      <c r="C109" s="27" t="n">
        <v>2026</v>
      </c>
      <c r="D109" s="22" t="s">
        <v>1172</v>
      </c>
      <c r="E109" s="22" t="s">
        <v>1823</v>
      </c>
    </row>
    <row r="110" customFormat="false" ht="15" hidden="false" customHeight="false" outlineLevel="0" collapsed="false">
      <c r="A110" s="24" t="s">
        <v>894</v>
      </c>
      <c r="B110" s="27" t="s">
        <v>893</v>
      </c>
      <c r="C110" s="27" t="n">
        <v>2000</v>
      </c>
      <c r="D110" s="22" t="s">
        <v>892</v>
      </c>
      <c r="E110" s="22" t="s">
        <v>1823</v>
      </c>
    </row>
    <row r="111" customFormat="false" ht="15" hidden="false" customHeight="false" outlineLevel="0" collapsed="false">
      <c r="A111" s="24" t="s">
        <v>541</v>
      </c>
      <c r="B111" s="27" t="s">
        <v>540</v>
      </c>
      <c r="C111" s="27" t="n">
        <v>2001</v>
      </c>
      <c r="D111" s="22" t="s">
        <v>538</v>
      </c>
      <c r="E111" s="22" t="s">
        <v>1823</v>
      </c>
    </row>
    <row r="112" customFormat="false" ht="15" hidden="false" customHeight="false" outlineLevel="0" collapsed="false">
      <c r="A112" s="24" t="s">
        <v>1475</v>
      </c>
      <c r="B112" s="27" t="s">
        <v>1474</v>
      </c>
      <c r="C112" s="27" t="n">
        <v>2002</v>
      </c>
      <c r="D112" s="22" t="s">
        <v>1473</v>
      </c>
      <c r="E112" s="22" t="s">
        <v>1823</v>
      </c>
    </row>
    <row r="113" customFormat="false" ht="15" hidden="false" customHeight="false" outlineLevel="0" collapsed="false">
      <c r="A113" s="24" t="s">
        <v>1055</v>
      </c>
      <c r="B113" s="27" t="s">
        <v>1054</v>
      </c>
      <c r="C113" s="27" t="n">
        <v>2006</v>
      </c>
      <c r="D113" s="22" t="s">
        <v>1052</v>
      </c>
      <c r="E113" s="22" t="s">
        <v>1823</v>
      </c>
    </row>
    <row r="114" customFormat="false" ht="15" hidden="false" customHeight="false" outlineLevel="0" collapsed="false">
      <c r="A114" s="24" t="s">
        <v>565</v>
      </c>
      <c r="B114" s="27" t="s">
        <v>564</v>
      </c>
      <c r="C114" s="27" t="n">
        <v>2008</v>
      </c>
      <c r="D114" s="22" t="s">
        <v>562</v>
      </c>
      <c r="E114" s="22" t="s">
        <v>1823</v>
      </c>
    </row>
    <row r="115" customFormat="false" ht="15" hidden="false" customHeight="false" outlineLevel="0" collapsed="false">
      <c r="A115" s="24" t="s">
        <v>1860</v>
      </c>
      <c r="B115" s="27" t="s">
        <v>1861</v>
      </c>
      <c r="C115" s="27" t="n">
        <v>2000</v>
      </c>
      <c r="D115" s="22" t="s">
        <v>943</v>
      </c>
      <c r="E115" s="22" t="s">
        <v>1823</v>
      </c>
    </row>
    <row r="116" customFormat="false" ht="15" hidden="false" customHeight="false" outlineLevel="0" collapsed="false">
      <c r="A116" s="24" t="s">
        <v>1507</v>
      </c>
      <c r="B116" s="27" t="s">
        <v>1506</v>
      </c>
      <c r="C116" s="27" t="n">
        <v>2014</v>
      </c>
      <c r="D116" s="22" t="s">
        <v>1504</v>
      </c>
      <c r="E116" s="22" t="s">
        <v>1823</v>
      </c>
    </row>
    <row r="117" customFormat="false" ht="15" hidden="false" customHeight="false" outlineLevel="0" collapsed="false">
      <c r="A117" s="24" t="s">
        <v>1355</v>
      </c>
      <c r="B117" s="27" t="s">
        <v>1354</v>
      </c>
      <c r="C117" s="27" t="n">
        <v>2023</v>
      </c>
      <c r="D117" s="22" t="s">
        <v>1353</v>
      </c>
      <c r="E117" s="22" t="s">
        <v>1823</v>
      </c>
    </row>
    <row r="118" customFormat="false" ht="15" hidden="false" customHeight="false" outlineLevel="0" collapsed="false">
      <c r="A118" s="24" t="s">
        <v>1226</v>
      </c>
      <c r="B118" s="27" t="s">
        <v>1225</v>
      </c>
      <c r="C118" s="27" t="n">
        <v>1996</v>
      </c>
      <c r="D118" s="22" t="s">
        <v>1224</v>
      </c>
      <c r="E118" s="22" t="s">
        <v>1823</v>
      </c>
    </row>
    <row r="119" customFormat="false" ht="15" hidden="false" customHeight="false" outlineLevel="0" collapsed="false">
      <c r="A119" s="24" t="s">
        <v>828</v>
      </c>
      <c r="B119" s="27" t="s">
        <v>827</v>
      </c>
      <c r="C119" s="27" t="n">
        <v>1996</v>
      </c>
      <c r="D119" s="22" t="s">
        <v>825</v>
      </c>
      <c r="E119" s="22" t="s">
        <v>1823</v>
      </c>
    </row>
    <row r="120" customFormat="false" ht="15" hidden="false" customHeight="false" outlineLevel="0" collapsed="false">
      <c r="A120" s="24" t="s">
        <v>1187</v>
      </c>
      <c r="B120" s="27" t="s">
        <v>1186</v>
      </c>
      <c r="C120" s="27" t="n">
        <v>1998</v>
      </c>
      <c r="D120" s="22" t="s">
        <v>1184</v>
      </c>
      <c r="E120" s="22" t="s">
        <v>1823</v>
      </c>
    </row>
    <row r="121" customFormat="false" ht="15" hidden="false" customHeight="false" outlineLevel="0" collapsed="false">
      <c r="A121" s="24" t="s">
        <v>1147</v>
      </c>
      <c r="B121" s="27" t="s">
        <v>1146</v>
      </c>
      <c r="C121" s="27" t="n">
        <v>1998</v>
      </c>
      <c r="D121" s="22" t="s">
        <v>1144</v>
      </c>
      <c r="E121" s="22" t="s">
        <v>1823</v>
      </c>
    </row>
    <row r="122" customFormat="false" ht="15" hidden="false" customHeight="false" outlineLevel="0" collapsed="false">
      <c r="A122" s="24" t="s">
        <v>1862</v>
      </c>
      <c r="B122" s="27" t="s">
        <v>1863</v>
      </c>
      <c r="C122" s="27" t="n">
        <v>2000</v>
      </c>
      <c r="D122" s="22" t="s">
        <v>943</v>
      </c>
      <c r="E122" s="22" t="s">
        <v>1823</v>
      </c>
    </row>
    <row r="123" customFormat="false" ht="15" hidden="false" customHeight="false" outlineLevel="0" collapsed="false">
      <c r="A123" s="24" t="s">
        <v>1864</v>
      </c>
      <c r="B123" s="27" t="s">
        <v>1817</v>
      </c>
      <c r="C123" s="27" t="n">
        <v>2016</v>
      </c>
      <c r="D123" s="22" t="s">
        <v>1818</v>
      </c>
      <c r="E123" s="22" t="s">
        <v>1823</v>
      </c>
    </row>
    <row r="124" customFormat="false" ht="15" hidden="false" customHeight="false" outlineLevel="0" collapsed="false">
      <c r="A124" s="24" t="s">
        <v>1549</v>
      </c>
      <c r="B124" s="27" t="s">
        <v>1548</v>
      </c>
      <c r="C124" s="27" t="n">
        <v>2002</v>
      </c>
      <c r="D124" s="22" t="s">
        <v>1547</v>
      </c>
      <c r="E124" s="22" t="s">
        <v>1823</v>
      </c>
    </row>
    <row r="125" customFormat="false" ht="15" hidden="false" customHeight="false" outlineLevel="0" collapsed="false">
      <c r="A125" s="24" t="s">
        <v>914</v>
      </c>
      <c r="B125" s="27" t="s">
        <v>913</v>
      </c>
      <c r="C125" s="27" t="n">
        <v>2002</v>
      </c>
      <c r="D125" s="22" t="s">
        <v>1865</v>
      </c>
      <c r="E125" s="22" t="s">
        <v>1823</v>
      </c>
    </row>
    <row r="126" customFormat="false" ht="15" hidden="false" customHeight="false" outlineLevel="0" collapsed="false">
      <c r="A126" s="24" t="s">
        <v>688</v>
      </c>
      <c r="B126" s="27" t="s">
        <v>687</v>
      </c>
      <c r="C126" s="27" t="n">
        <v>2012</v>
      </c>
      <c r="D126" s="22" t="s">
        <v>686</v>
      </c>
      <c r="E126" s="22" t="s">
        <v>1823</v>
      </c>
    </row>
    <row r="127" customFormat="false" ht="15" hidden="false" customHeight="false" outlineLevel="0" collapsed="false">
      <c r="A127" s="24" t="s">
        <v>1154</v>
      </c>
      <c r="B127" s="27" t="s">
        <v>1153</v>
      </c>
      <c r="C127" s="27" t="n">
        <v>2012</v>
      </c>
      <c r="D127" s="22" t="s">
        <v>1151</v>
      </c>
      <c r="E127" s="22" t="s">
        <v>1823</v>
      </c>
    </row>
    <row r="128" customFormat="false" ht="15" hidden="false" customHeight="false" outlineLevel="0" collapsed="false">
      <c r="A128" s="24" t="s">
        <v>748</v>
      </c>
      <c r="B128" s="27" t="s">
        <v>747</v>
      </c>
      <c r="C128" s="27" t="n">
        <v>2012</v>
      </c>
      <c r="D128" s="22" t="s">
        <v>746</v>
      </c>
      <c r="E128" s="22" t="s">
        <v>1823</v>
      </c>
    </row>
    <row r="129" customFormat="false" ht="15" hidden="false" customHeight="false" outlineLevel="0" collapsed="false">
      <c r="A129" s="24" t="s">
        <v>1529</v>
      </c>
      <c r="B129" s="27" t="s">
        <v>1528</v>
      </c>
      <c r="C129" s="27" t="n">
        <v>2013</v>
      </c>
      <c r="D129" s="22" t="s">
        <v>1527</v>
      </c>
      <c r="E129" s="22" t="s">
        <v>1823</v>
      </c>
    </row>
    <row r="130" customFormat="false" ht="15" hidden="false" customHeight="false" outlineLevel="0" collapsed="false">
      <c r="A130" s="24" t="s">
        <v>604</v>
      </c>
      <c r="B130" s="27" t="s">
        <v>603</v>
      </c>
      <c r="C130" s="27" t="n">
        <v>2002</v>
      </c>
      <c r="D130" s="22" t="s">
        <v>1866</v>
      </c>
      <c r="E130" s="22" t="s">
        <v>1823</v>
      </c>
    </row>
    <row r="131" customFormat="false" ht="15" hidden="false" customHeight="false" outlineLevel="0" collapsed="false">
      <c r="A131" s="24" t="s">
        <v>1202</v>
      </c>
      <c r="B131" s="27" t="s">
        <v>1201</v>
      </c>
      <c r="C131" s="27" t="n">
        <v>2003</v>
      </c>
      <c r="D131" s="22" t="s">
        <v>1867</v>
      </c>
      <c r="E131" s="22" t="s">
        <v>1823</v>
      </c>
    </row>
    <row r="132" customFormat="false" ht="15" hidden="false" customHeight="false" outlineLevel="0" collapsed="false">
      <c r="A132" s="24" t="s">
        <v>1237</v>
      </c>
      <c r="B132" s="27" t="s">
        <v>1236</v>
      </c>
      <c r="C132" s="27" t="n">
        <v>2004</v>
      </c>
      <c r="D132" s="22" t="s">
        <v>1868</v>
      </c>
      <c r="E132" s="22" t="s">
        <v>1823</v>
      </c>
    </row>
    <row r="133" customFormat="false" ht="15" hidden="false" customHeight="false" outlineLevel="0" collapsed="false">
      <c r="A133" s="24" t="s">
        <v>471</v>
      </c>
      <c r="B133" s="27" t="s">
        <v>470</v>
      </c>
      <c r="C133" s="27" t="n">
        <v>2005</v>
      </c>
      <c r="D133" s="22" t="s">
        <v>1869</v>
      </c>
      <c r="E133" s="22" t="s">
        <v>1823</v>
      </c>
    </row>
    <row r="134" customFormat="false" ht="15" hidden="false" customHeight="false" outlineLevel="0" collapsed="false">
      <c r="A134" s="24" t="s">
        <v>677</v>
      </c>
      <c r="B134" s="27" t="s">
        <v>676</v>
      </c>
      <c r="C134" s="27" t="n">
        <v>2006</v>
      </c>
      <c r="D134" s="22" t="s">
        <v>675</v>
      </c>
      <c r="E134" s="22" t="s">
        <v>1823</v>
      </c>
    </row>
    <row r="135" customFormat="false" ht="15" hidden="false" customHeight="false" outlineLevel="0" collapsed="false">
      <c r="A135" s="24" t="s">
        <v>1438</v>
      </c>
      <c r="B135" s="27" t="s">
        <v>1437</v>
      </c>
      <c r="C135" s="27" t="n">
        <v>2006</v>
      </c>
      <c r="D135" s="22" t="s">
        <v>1436</v>
      </c>
      <c r="E135" s="22" t="s">
        <v>1823</v>
      </c>
    </row>
    <row r="136" customFormat="false" ht="15" hidden="false" customHeight="false" outlineLevel="0" collapsed="false">
      <c r="A136" s="24" t="s">
        <v>1197</v>
      </c>
      <c r="B136" s="27" t="s">
        <v>1196</v>
      </c>
      <c r="C136" s="27" t="n">
        <v>2007</v>
      </c>
      <c r="D136" s="22" t="s">
        <v>1870</v>
      </c>
      <c r="E136" s="22" t="s">
        <v>1823</v>
      </c>
    </row>
    <row r="137" customFormat="false" ht="15" hidden="false" customHeight="false" outlineLevel="0" collapsed="false">
      <c r="A137" s="24" t="s">
        <v>642</v>
      </c>
      <c r="B137" s="27" t="s">
        <v>641</v>
      </c>
      <c r="C137" s="27" t="n">
        <v>2007</v>
      </c>
      <c r="D137" s="22" t="s">
        <v>640</v>
      </c>
      <c r="E137" s="22" t="s">
        <v>1823</v>
      </c>
    </row>
    <row r="138" customFormat="false" ht="15" hidden="false" customHeight="false" outlineLevel="0" collapsed="false">
      <c r="A138" s="24" t="s">
        <v>1562</v>
      </c>
      <c r="B138" s="27" t="s">
        <v>1561</v>
      </c>
      <c r="C138" s="27" t="n">
        <v>2008</v>
      </c>
      <c r="D138" s="22" t="s">
        <v>1560</v>
      </c>
      <c r="E138" s="22" t="s">
        <v>1823</v>
      </c>
    </row>
    <row r="139" customFormat="false" ht="15" hidden="false" customHeight="false" outlineLevel="0" collapsed="false">
      <c r="A139" s="24" t="s">
        <v>1648</v>
      </c>
      <c r="B139" s="27" t="s">
        <v>1647</v>
      </c>
      <c r="C139" s="27" t="n">
        <v>2008</v>
      </c>
      <c r="D139" s="22" t="s">
        <v>1646</v>
      </c>
      <c r="E139" s="22" t="s">
        <v>1823</v>
      </c>
    </row>
    <row r="140" customFormat="false" ht="15" hidden="false" customHeight="false" outlineLevel="0" collapsed="false">
      <c r="A140" s="24" t="s">
        <v>1554</v>
      </c>
      <c r="B140" s="27" t="s">
        <v>1553</v>
      </c>
      <c r="C140" s="27" t="n">
        <v>2009</v>
      </c>
      <c r="D140" s="22" t="s">
        <v>1871</v>
      </c>
      <c r="E140" s="22" t="s">
        <v>1823</v>
      </c>
    </row>
    <row r="141" customFormat="false" ht="15" hidden="false" customHeight="false" outlineLevel="0" collapsed="false">
      <c r="A141" s="24" t="s">
        <v>925</v>
      </c>
      <c r="B141" s="27" t="s">
        <v>924</v>
      </c>
      <c r="C141" s="27" t="n">
        <v>2020</v>
      </c>
      <c r="D141" s="22" t="s">
        <v>923</v>
      </c>
      <c r="E141" s="22" t="s">
        <v>1823</v>
      </c>
    </row>
    <row r="142" customFormat="false" ht="15" hidden="false" customHeight="false" outlineLevel="0" collapsed="false">
      <c r="A142" s="24" t="s">
        <v>1008</v>
      </c>
      <c r="B142" s="27" t="s">
        <v>1007</v>
      </c>
      <c r="C142" s="27" t="n">
        <v>2021</v>
      </c>
      <c r="D142" s="22" t="s">
        <v>1872</v>
      </c>
      <c r="E142" s="22" t="s">
        <v>1823</v>
      </c>
    </row>
    <row r="143" customFormat="false" ht="15" hidden="false" customHeight="false" outlineLevel="0" collapsed="false">
      <c r="A143" s="24" t="s">
        <v>517</v>
      </c>
      <c r="B143" s="27" t="s">
        <v>516</v>
      </c>
      <c r="C143" s="27" t="n">
        <v>2002</v>
      </c>
      <c r="D143" s="22" t="s">
        <v>514</v>
      </c>
      <c r="E143" s="22" t="s">
        <v>1823</v>
      </c>
    </row>
    <row r="144" customFormat="false" ht="15" hidden="false" customHeight="false" outlineLevel="0" collapsed="false">
      <c r="A144" s="24" t="s">
        <v>459</v>
      </c>
      <c r="B144" s="27" t="s">
        <v>458</v>
      </c>
      <c r="C144" s="27" t="n">
        <v>2003</v>
      </c>
      <c r="D144" s="22" t="s">
        <v>457</v>
      </c>
      <c r="E144" s="22" t="s">
        <v>1823</v>
      </c>
    </row>
    <row r="145" customFormat="false" ht="15" hidden="false" customHeight="false" outlineLevel="0" collapsed="false">
      <c r="A145" s="24" t="s">
        <v>1405</v>
      </c>
      <c r="B145" s="27" t="s">
        <v>1404</v>
      </c>
      <c r="C145" s="27" t="n">
        <v>2004</v>
      </c>
      <c r="D145" s="22" t="s">
        <v>1873</v>
      </c>
      <c r="E145" s="22" t="s">
        <v>1823</v>
      </c>
    </row>
    <row r="146" customFormat="false" ht="15" hidden="false" customHeight="false" outlineLevel="0" collapsed="false">
      <c r="A146" s="24" t="s">
        <v>522</v>
      </c>
      <c r="B146" s="27" t="s">
        <v>521</v>
      </c>
      <c r="C146" s="27" t="n">
        <v>2008</v>
      </c>
      <c r="D146" s="22" t="s">
        <v>520</v>
      </c>
      <c r="E146" s="22" t="s">
        <v>1823</v>
      </c>
    </row>
    <row r="147" customFormat="false" ht="15" hidden="false" customHeight="false" outlineLevel="0" collapsed="false">
      <c r="A147" s="24" t="s">
        <v>1288</v>
      </c>
      <c r="B147" s="27" t="s">
        <v>1287</v>
      </c>
      <c r="C147" s="27" t="n">
        <v>2011</v>
      </c>
      <c r="D147" s="22" t="s">
        <v>1286</v>
      </c>
      <c r="E147" s="22" t="s">
        <v>1823</v>
      </c>
    </row>
    <row r="148" customFormat="false" ht="15" hidden="false" customHeight="false" outlineLevel="0" collapsed="false">
      <c r="A148" s="24" t="s">
        <v>1604</v>
      </c>
      <c r="B148" s="27" t="s">
        <v>1603</v>
      </c>
      <c r="C148" s="27" t="n">
        <v>2005</v>
      </c>
      <c r="D148" s="22" t="s">
        <v>1602</v>
      </c>
      <c r="E148" s="22" t="s">
        <v>1823</v>
      </c>
    </row>
    <row r="149" customFormat="false" ht="15" hidden="false" customHeight="false" outlineLevel="0" collapsed="false">
      <c r="A149" s="24" t="s">
        <v>1293</v>
      </c>
      <c r="B149" s="27" t="s">
        <v>1292</v>
      </c>
      <c r="C149" s="27" t="n">
        <v>2007</v>
      </c>
      <c r="D149" s="22" t="s">
        <v>1874</v>
      </c>
      <c r="E149" s="22" t="s">
        <v>1823</v>
      </c>
    </row>
    <row r="150" customFormat="false" ht="15" hidden="false" customHeight="false" outlineLevel="0" collapsed="false">
      <c r="A150" s="24" t="s">
        <v>1516</v>
      </c>
      <c r="B150" s="27" t="s">
        <v>1515</v>
      </c>
      <c r="C150" s="27" t="n">
        <v>2009</v>
      </c>
      <c r="D150" s="22" t="s">
        <v>1514</v>
      </c>
      <c r="E150" s="22" t="s">
        <v>1823</v>
      </c>
    </row>
    <row r="151" customFormat="false" ht="15" hidden="false" customHeight="false" outlineLevel="0" collapsed="false">
      <c r="A151" s="24" t="s">
        <v>1464</v>
      </c>
      <c r="B151" s="27" t="s">
        <v>1463</v>
      </c>
      <c r="C151" s="27" t="n">
        <v>2014</v>
      </c>
      <c r="D151" s="22" t="s">
        <v>1462</v>
      </c>
      <c r="E151" s="22" t="s">
        <v>1823</v>
      </c>
    </row>
    <row r="152" customFormat="false" ht="15" hidden="false" customHeight="false" outlineLevel="0" collapsed="false">
      <c r="A152" s="24" t="s">
        <v>1231</v>
      </c>
      <c r="B152" s="27" t="s">
        <v>1230</v>
      </c>
      <c r="C152" s="27" t="n">
        <v>1998</v>
      </c>
      <c r="D152" s="22" t="s">
        <v>1875</v>
      </c>
      <c r="E152" s="22" t="s">
        <v>1823</v>
      </c>
    </row>
    <row r="153" customFormat="false" ht="15" hidden="false" customHeight="false" outlineLevel="0" collapsed="false">
      <c r="A153" s="24" t="s">
        <v>1657</v>
      </c>
      <c r="B153" s="27" t="s">
        <v>1656</v>
      </c>
      <c r="C153" s="27" t="n">
        <v>2014</v>
      </c>
      <c r="D153" s="22" t="s">
        <v>1876</v>
      </c>
      <c r="E153" s="22" t="s">
        <v>1823</v>
      </c>
    </row>
    <row r="154" customFormat="false" ht="15" hidden="false" customHeight="false" outlineLevel="0" collapsed="false">
      <c r="A154" s="24" t="s">
        <v>1567</v>
      </c>
      <c r="B154" s="27" t="s">
        <v>1566</v>
      </c>
      <c r="C154" s="27" t="n">
        <v>2019</v>
      </c>
      <c r="D154" s="22" t="s">
        <v>1877</v>
      </c>
      <c r="E154" s="22" t="s">
        <v>1823</v>
      </c>
    </row>
    <row r="155" customFormat="false" ht="15" hidden="false" customHeight="false" outlineLevel="0" collapsed="false">
      <c r="A155" s="24" t="s">
        <v>595</v>
      </c>
      <c r="B155" s="27" t="s">
        <v>594</v>
      </c>
      <c r="C155" s="27" t="n">
        <v>2005</v>
      </c>
      <c r="D155" s="22" t="s">
        <v>1878</v>
      </c>
      <c r="E155" s="22" t="s">
        <v>1823</v>
      </c>
    </row>
    <row r="156" customFormat="false" ht="15" hidden="false" customHeight="false" outlineLevel="0" collapsed="false">
      <c r="A156" s="24" t="s">
        <v>1160</v>
      </c>
      <c r="B156" s="27" t="s">
        <v>1159</v>
      </c>
      <c r="C156" s="27" t="n">
        <v>2016</v>
      </c>
      <c r="D156" s="22" t="s">
        <v>1879</v>
      </c>
      <c r="E156" s="22" t="s">
        <v>1823</v>
      </c>
    </row>
    <row r="157" customFormat="false" ht="15" hidden="false" customHeight="false" outlineLevel="0" collapsed="false">
      <c r="A157" s="24" t="s">
        <v>1458</v>
      </c>
      <c r="B157" s="27" t="s">
        <v>1457</v>
      </c>
      <c r="C157" s="27" t="n">
        <v>2016</v>
      </c>
      <c r="D157" s="22" t="s">
        <v>1880</v>
      </c>
      <c r="E157" s="22" t="s">
        <v>1823</v>
      </c>
    </row>
    <row r="158" customFormat="false" ht="15" hidden="false" customHeight="false" outlineLevel="0" collapsed="false">
      <c r="A158" s="24" t="s">
        <v>721</v>
      </c>
      <c r="B158" s="27" t="s">
        <v>720</v>
      </c>
      <c r="C158" s="27" t="n">
        <v>2004</v>
      </c>
      <c r="D158" s="22" t="s">
        <v>719</v>
      </c>
      <c r="E158" s="22" t="s">
        <v>1823</v>
      </c>
    </row>
    <row r="159" customFormat="false" ht="15" hidden="false" customHeight="false" outlineLevel="0" collapsed="false">
      <c r="A159" s="24" t="s">
        <v>631</v>
      </c>
      <c r="B159" s="27" t="s">
        <v>630</v>
      </c>
      <c r="C159" s="27" t="n">
        <v>2006</v>
      </c>
      <c r="D159" s="22" t="s">
        <v>628</v>
      </c>
      <c r="E159" s="22" t="s">
        <v>1823</v>
      </c>
    </row>
    <row r="160" customFormat="false" ht="15" hidden="false" customHeight="false" outlineLevel="0" collapsed="false">
      <c r="A160" s="24" t="s">
        <v>1043</v>
      </c>
      <c r="B160" s="27" t="s">
        <v>1042</v>
      </c>
      <c r="C160" s="27" t="n">
        <v>2013</v>
      </c>
      <c r="D160" s="22" t="s">
        <v>1041</v>
      </c>
      <c r="E160" s="22" t="s">
        <v>1823</v>
      </c>
    </row>
    <row r="161" customFormat="false" ht="15" hidden="false" customHeight="false" outlineLevel="0" collapsed="false">
      <c r="A161" s="24" t="s">
        <v>1484</v>
      </c>
      <c r="B161" s="27" t="s">
        <v>1483</v>
      </c>
      <c r="C161" s="27" t="n">
        <v>2009</v>
      </c>
      <c r="D161" s="22" t="s">
        <v>1482</v>
      </c>
      <c r="E161" s="22" t="s">
        <v>1823</v>
      </c>
    </row>
    <row r="162" customFormat="false" ht="15" hidden="false" customHeight="false" outlineLevel="0" collapsed="false">
      <c r="A162" s="24" t="s">
        <v>1573</v>
      </c>
      <c r="B162" s="27" t="s">
        <v>1572</v>
      </c>
      <c r="C162" s="27" t="n">
        <v>2018</v>
      </c>
      <c r="D162" s="22" t="s">
        <v>1571</v>
      </c>
      <c r="E162" s="22" t="s">
        <v>1823</v>
      </c>
    </row>
    <row r="163" customFormat="false" ht="15" hidden="false" customHeight="false" outlineLevel="0" collapsed="false">
      <c r="A163" s="24" t="s">
        <v>980</v>
      </c>
      <c r="B163" s="27" t="s">
        <v>979</v>
      </c>
      <c r="C163" s="27" t="n">
        <v>2023</v>
      </c>
      <c r="D163" s="22" t="s">
        <v>1881</v>
      </c>
      <c r="E163" s="22" t="s">
        <v>1823</v>
      </c>
    </row>
    <row r="164" customFormat="false" ht="15" hidden="false" customHeight="false" outlineLevel="0" collapsed="false">
      <c r="A164" s="24" t="s">
        <v>1615</v>
      </c>
      <c r="B164" s="27" t="s">
        <v>1614</v>
      </c>
      <c r="C164" s="27" t="n">
        <v>2005</v>
      </c>
      <c r="D164" s="22" t="s">
        <v>1613</v>
      </c>
      <c r="E164" s="22" t="s">
        <v>1823</v>
      </c>
    </row>
    <row r="165" customFormat="false" ht="15" hidden="false" customHeight="false" outlineLevel="0" collapsed="false">
      <c r="A165" s="24" t="s">
        <v>411</v>
      </c>
      <c r="B165" s="27" t="s">
        <v>410</v>
      </c>
      <c r="C165" s="27" t="n">
        <v>2009</v>
      </c>
      <c r="D165" s="22" t="s">
        <v>408</v>
      </c>
      <c r="E165" s="22" t="s">
        <v>1823</v>
      </c>
    </row>
    <row r="166" customFormat="false" ht="15" hidden="false" customHeight="false" outlineLevel="0" collapsed="false">
      <c r="A166" s="24" t="s">
        <v>1583</v>
      </c>
      <c r="B166" s="27" t="s">
        <v>1582</v>
      </c>
      <c r="C166" s="27" t="n">
        <v>2012</v>
      </c>
      <c r="D166" s="22" t="s">
        <v>1882</v>
      </c>
      <c r="E166" s="22" t="s">
        <v>1823</v>
      </c>
    </row>
    <row r="167" customFormat="false" ht="23.85" hidden="false" customHeight="false" outlineLevel="0" collapsed="false">
      <c r="A167" s="24" t="s">
        <v>95</v>
      </c>
      <c r="B167" s="27" t="s">
        <v>94</v>
      </c>
      <c r="C167" s="27" t="n">
        <v>2023</v>
      </c>
      <c r="D167" s="22" t="s">
        <v>1883</v>
      </c>
      <c r="E167" s="22" t="s">
        <v>1823</v>
      </c>
    </row>
    <row r="168" customFormat="false" ht="15" hidden="false" customHeight="false" outlineLevel="0" collapsed="false">
      <c r="A168" s="24" t="s">
        <v>535</v>
      </c>
      <c r="B168" s="27" t="s">
        <v>534</v>
      </c>
      <c r="C168" s="27" t="n">
        <v>2009</v>
      </c>
      <c r="D168" s="22" t="s">
        <v>532</v>
      </c>
      <c r="E168" s="22" t="s">
        <v>1823</v>
      </c>
    </row>
    <row r="169" customFormat="false" ht="15" hidden="false" customHeight="false" outlineLevel="0" collapsed="false">
      <c r="A169" s="24" t="s">
        <v>702</v>
      </c>
      <c r="B169" s="27" t="s">
        <v>701</v>
      </c>
      <c r="C169" s="27" t="n">
        <v>2002</v>
      </c>
      <c r="D169" s="22" t="s">
        <v>699</v>
      </c>
      <c r="E169" s="22" t="s">
        <v>1823</v>
      </c>
    </row>
    <row r="170" customFormat="false" ht="15" hidden="false" customHeight="false" outlineLevel="0" collapsed="false">
      <c r="A170" s="24" t="s">
        <v>806</v>
      </c>
      <c r="B170" s="27" t="s">
        <v>805</v>
      </c>
      <c r="C170" s="27" t="n">
        <v>2009</v>
      </c>
      <c r="D170" s="22" t="s">
        <v>803</v>
      </c>
      <c r="E170" s="22" t="s">
        <v>1823</v>
      </c>
    </row>
    <row r="171" customFormat="false" ht="15" hidden="false" customHeight="false" outlineLevel="0" collapsed="false">
      <c r="A171" s="24" t="s">
        <v>1211</v>
      </c>
      <c r="B171" s="27" t="s">
        <v>1210</v>
      </c>
      <c r="C171" s="27" t="n">
        <v>1996</v>
      </c>
      <c r="D171" s="22" t="s">
        <v>1208</v>
      </c>
      <c r="E171" s="22" t="s">
        <v>1823</v>
      </c>
    </row>
    <row r="172" customFormat="false" ht="15" hidden="false" customHeight="false" outlineLevel="0" collapsed="false">
      <c r="A172" s="24" t="s">
        <v>165</v>
      </c>
      <c r="B172" s="27" t="s">
        <v>164</v>
      </c>
      <c r="C172" s="27" t="n">
        <v>1997</v>
      </c>
      <c r="D172" s="22" t="s">
        <v>1884</v>
      </c>
      <c r="E172" s="22" t="s">
        <v>1823</v>
      </c>
    </row>
    <row r="173" customFormat="false" ht="15" hidden="false" customHeight="false" outlineLevel="0" collapsed="false">
      <c r="A173" s="24" t="s">
        <v>765</v>
      </c>
      <c r="B173" s="27" t="s">
        <v>764</v>
      </c>
      <c r="C173" s="27" t="n">
        <v>2007</v>
      </c>
      <c r="D173" s="22" t="s">
        <v>763</v>
      </c>
      <c r="E173" s="22" t="s">
        <v>1823</v>
      </c>
    </row>
    <row r="174" customFormat="false" ht="15" hidden="false" customHeight="false" outlineLevel="0" collapsed="false">
      <c r="A174" s="24" t="s">
        <v>847</v>
      </c>
      <c r="B174" s="27" t="s">
        <v>846</v>
      </c>
      <c r="C174" s="27" t="n">
        <v>2010</v>
      </c>
      <c r="D174" s="22" t="s">
        <v>843</v>
      </c>
      <c r="E174" s="22" t="s">
        <v>1823</v>
      </c>
    </row>
    <row r="175" customFormat="false" ht="15" hidden="false" customHeight="false" outlineLevel="0" collapsed="false">
      <c r="A175" s="24" t="s">
        <v>1081</v>
      </c>
      <c r="B175" s="27" t="s">
        <v>1080</v>
      </c>
      <c r="C175" s="27" t="n">
        <v>2010</v>
      </c>
      <c r="D175" s="22" t="s">
        <v>1079</v>
      </c>
      <c r="E175" s="22" t="s">
        <v>1823</v>
      </c>
    </row>
    <row r="176" customFormat="false" ht="15" hidden="false" customHeight="false" outlineLevel="0" collapsed="false">
      <c r="A176" s="24" t="s">
        <v>1112</v>
      </c>
      <c r="B176" s="27" t="s">
        <v>1111</v>
      </c>
      <c r="C176" s="27" t="n">
        <v>2011</v>
      </c>
      <c r="D176" s="22" t="s">
        <v>1110</v>
      </c>
      <c r="E176" s="22" t="s">
        <v>1823</v>
      </c>
    </row>
    <row r="177" customFormat="false" ht="15" hidden="false" customHeight="false" outlineLevel="0" collapsed="false">
      <c r="A177" s="24" t="s">
        <v>1443</v>
      </c>
      <c r="B177" s="27" t="s">
        <v>1442</v>
      </c>
      <c r="C177" s="27" t="n">
        <v>2003</v>
      </c>
      <c r="D177" s="22" t="s">
        <v>1441</v>
      </c>
      <c r="E177" s="22" t="s">
        <v>1823</v>
      </c>
    </row>
    <row r="178" customFormat="false" ht="15" hidden="false" customHeight="false" outlineLevel="0" collapsed="false">
      <c r="A178" s="24" t="s">
        <v>1623</v>
      </c>
      <c r="B178" s="27" t="s">
        <v>1622</v>
      </c>
      <c r="C178" s="27" t="n">
        <v>2022</v>
      </c>
      <c r="D178" s="22" t="s">
        <v>1885</v>
      </c>
      <c r="E178" s="22" t="s">
        <v>1823</v>
      </c>
    </row>
    <row r="179" customFormat="false" ht="15" hidden="false" customHeight="false" outlineLevel="0" collapsed="false">
      <c r="A179" s="24" t="s">
        <v>1501</v>
      </c>
      <c r="B179" s="27" t="s">
        <v>1500</v>
      </c>
      <c r="C179" s="27" t="n">
        <v>2013</v>
      </c>
      <c r="D179" s="22" t="s">
        <v>1499</v>
      </c>
      <c r="E179" s="22" t="s">
        <v>1823</v>
      </c>
    </row>
    <row r="180" customFormat="false" ht="15" hidden="false" customHeight="false" outlineLevel="0" collapsed="false">
      <c r="A180" s="24" t="s">
        <v>1048</v>
      </c>
      <c r="B180" s="27" t="s">
        <v>1047</v>
      </c>
      <c r="C180" s="27" t="n">
        <v>2021</v>
      </c>
      <c r="D180" s="22" t="s">
        <v>1886</v>
      </c>
      <c r="E180" s="22" t="s">
        <v>1823</v>
      </c>
    </row>
    <row r="181" customFormat="false" ht="15" hidden="false" customHeight="false" outlineLevel="0" collapsed="false">
      <c r="A181" s="24" t="s">
        <v>1636</v>
      </c>
      <c r="B181" s="27" t="s">
        <v>1635</v>
      </c>
      <c r="C181" s="27" t="n">
        <v>2022</v>
      </c>
      <c r="D181" s="22" t="s">
        <v>1634</v>
      </c>
      <c r="E181" s="22" t="s">
        <v>1823</v>
      </c>
    </row>
    <row r="182" customFormat="false" ht="15" hidden="false" customHeight="false" outlineLevel="0" collapsed="false">
      <c r="A182" s="24" t="s">
        <v>1091</v>
      </c>
      <c r="B182" s="27" t="s">
        <v>1090</v>
      </c>
      <c r="C182" s="27" t="n">
        <v>2018</v>
      </c>
      <c r="D182" s="22" t="s">
        <v>1089</v>
      </c>
      <c r="E182" s="22" t="s">
        <v>1823</v>
      </c>
    </row>
    <row r="183" customFormat="false" ht="15" hidden="false" customHeight="false" outlineLevel="0" collapsed="false">
      <c r="A183" s="24" t="s">
        <v>1066</v>
      </c>
      <c r="B183" s="27" t="s">
        <v>1065</v>
      </c>
      <c r="C183" s="27" t="n">
        <v>2018</v>
      </c>
      <c r="D183" s="22" t="s">
        <v>1887</v>
      </c>
      <c r="E183" s="22" t="s">
        <v>1823</v>
      </c>
    </row>
    <row r="184" customFormat="false" ht="15" hidden="false" customHeight="false" outlineLevel="0" collapsed="false">
      <c r="A184" s="24" t="s">
        <v>156</v>
      </c>
      <c r="B184" s="27" t="s">
        <v>155</v>
      </c>
      <c r="C184" s="27" t="n">
        <v>2014</v>
      </c>
      <c r="D184" s="22" t="s">
        <v>1888</v>
      </c>
      <c r="E184" s="22" t="s">
        <v>1823</v>
      </c>
    </row>
    <row r="185" customFormat="false" ht="15" hidden="false" customHeight="false" outlineLevel="0" collapsed="false">
      <c r="A185" s="24" t="s">
        <v>1470</v>
      </c>
      <c r="B185" s="27" t="s">
        <v>1469</v>
      </c>
      <c r="C185" s="27" t="n">
        <v>2018</v>
      </c>
      <c r="D185" s="22" t="s">
        <v>1467</v>
      </c>
      <c r="E185" s="22" t="s">
        <v>1823</v>
      </c>
    </row>
    <row r="186" customFormat="false" ht="15" hidden="false" customHeight="false" outlineLevel="0" collapsed="false">
      <c r="A186" s="24" t="s">
        <v>1264</v>
      </c>
      <c r="B186" s="27" t="s">
        <v>1263</v>
      </c>
      <c r="C186" s="27" t="n">
        <v>2010</v>
      </c>
      <c r="D186" s="22" t="s">
        <v>1262</v>
      </c>
      <c r="E186" s="22" t="s">
        <v>1823</v>
      </c>
    </row>
    <row r="187" customFormat="false" ht="15" hidden="false" customHeight="false" outlineLevel="0" collapsed="false">
      <c r="A187" s="24" t="s">
        <v>833</v>
      </c>
      <c r="B187" s="27" t="s">
        <v>832</v>
      </c>
      <c r="C187" s="27" t="n">
        <v>2020</v>
      </c>
      <c r="D187" s="22" t="s">
        <v>1889</v>
      </c>
      <c r="E187" s="22" t="s">
        <v>1823</v>
      </c>
    </row>
    <row r="188" customFormat="false" ht="15" hidden="false" customHeight="false" outlineLevel="0" collapsed="false">
      <c r="A188" s="24" t="s">
        <v>656</v>
      </c>
      <c r="B188" s="27" t="s">
        <v>655</v>
      </c>
      <c r="C188" s="27" t="n">
        <v>2006</v>
      </c>
      <c r="D188" s="22" t="s">
        <v>654</v>
      </c>
      <c r="E188" s="22" t="s">
        <v>1823</v>
      </c>
    </row>
    <row r="189" customFormat="false" ht="15" hidden="false" customHeight="false" outlineLevel="0" collapsed="false">
      <c r="A189" s="24" t="s">
        <v>758</v>
      </c>
      <c r="B189" s="27" t="s">
        <v>757</v>
      </c>
      <c r="C189" s="27" t="n">
        <v>2005</v>
      </c>
      <c r="D189" s="22" t="s">
        <v>756</v>
      </c>
      <c r="E189" s="22" t="s">
        <v>1823</v>
      </c>
    </row>
    <row r="190" customFormat="false" ht="15" hidden="false" customHeight="false" outlineLevel="0" collapsed="false">
      <c r="A190" s="24" t="s">
        <v>1272</v>
      </c>
      <c r="B190" s="27" t="s">
        <v>1271</v>
      </c>
      <c r="C190" s="27" t="n">
        <v>2007</v>
      </c>
      <c r="D190" s="22" t="s">
        <v>1270</v>
      </c>
      <c r="E190" s="22" t="s">
        <v>1823</v>
      </c>
    </row>
    <row r="191" customFormat="false" ht="15" hidden="false" customHeight="false" outlineLevel="0" collapsed="false">
      <c r="A191" s="24" t="s">
        <v>188</v>
      </c>
      <c r="B191" s="27" t="s">
        <v>187</v>
      </c>
      <c r="C191" s="27" t="n">
        <v>2013</v>
      </c>
      <c r="D191" s="22" t="s">
        <v>185</v>
      </c>
      <c r="E191" s="22" t="s">
        <v>1823</v>
      </c>
    </row>
    <row r="192" customFormat="false" ht="15" hidden="false" customHeight="false" outlineLevel="0" collapsed="false">
      <c r="A192" s="24" t="s">
        <v>1298</v>
      </c>
      <c r="B192" s="27" t="s">
        <v>1297</v>
      </c>
      <c r="C192" s="27" t="n">
        <v>2004</v>
      </c>
      <c r="D192" s="22" t="s">
        <v>1890</v>
      </c>
      <c r="E192" s="22" t="s">
        <v>1823</v>
      </c>
    </row>
    <row r="193" customFormat="false" ht="15" hidden="false" customHeight="false" outlineLevel="0" collapsed="false">
      <c r="A193" s="24" t="s">
        <v>776</v>
      </c>
      <c r="B193" s="27" t="s">
        <v>775</v>
      </c>
      <c r="C193" s="27" t="n">
        <v>2023</v>
      </c>
      <c r="D193" s="22" t="s">
        <v>774</v>
      </c>
      <c r="E193" s="22" t="s">
        <v>1823</v>
      </c>
    </row>
    <row r="194" customFormat="false" ht="15" hidden="false" customHeight="false" outlineLevel="0" collapsed="false">
      <c r="A194" s="24" t="s">
        <v>488</v>
      </c>
      <c r="B194" s="27" t="s">
        <v>487</v>
      </c>
      <c r="C194" s="27" t="n">
        <v>2024</v>
      </c>
      <c r="D194" s="22" t="s">
        <v>1891</v>
      </c>
      <c r="E194" s="22" t="s">
        <v>1823</v>
      </c>
    </row>
    <row r="195" customFormat="false" ht="15" hidden="false" customHeight="false" outlineLevel="0" collapsed="false">
      <c r="A195" s="24" t="s">
        <v>1258</v>
      </c>
      <c r="B195" s="27" t="s">
        <v>1257</v>
      </c>
      <c r="C195" s="27" t="n">
        <v>2023</v>
      </c>
      <c r="D195" s="22" t="s">
        <v>1256</v>
      </c>
      <c r="E195" s="22" t="s">
        <v>1823</v>
      </c>
    </row>
    <row r="196" customFormat="false" ht="23.85" hidden="false" customHeight="false" outlineLevel="0" collapsed="false">
      <c r="A196" s="24" t="s">
        <v>122</v>
      </c>
      <c r="B196" s="27" t="s">
        <v>121</v>
      </c>
      <c r="C196" s="27" t="n">
        <v>2016</v>
      </c>
      <c r="D196" s="22" t="s">
        <v>1892</v>
      </c>
      <c r="E196" s="22" t="s">
        <v>1823</v>
      </c>
    </row>
    <row r="197" customFormat="false" ht="15" hidden="false" customHeight="false" outlineLevel="0" collapsed="false">
      <c r="A197" s="24" t="s">
        <v>130</v>
      </c>
      <c r="B197" s="27" t="s">
        <v>129</v>
      </c>
      <c r="C197" s="27" t="n">
        <v>2015</v>
      </c>
      <c r="D197" s="22" t="s">
        <v>127</v>
      </c>
      <c r="E197" s="22" t="s">
        <v>1823</v>
      </c>
    </row>
    <row r="198" customFormat="false" ht="23.85" hidden="false" customHeight="false" outlineLevel="0" collapsed="false">
      <c r="A198" s="24" t="s">
        <v>274</v>
      </c>
      <c r="B198" s="27" t="s">
        <v>273</v>
      </c>
      <c r="C198" s="27" t="n">
        <v>2023</v>
      </c>
      <c r="D198" s="22" t="s">
        <v>1893</v>
      </c>
      <c r="E198" s="22" t="s">
        <v>1823</v>
      </c>
    </row>
    <row r="199" customFormat="false" ht="15" hidden="false" customHeight="false" outlineLevel="0" collapsed="false">
      <c r="A199" s="24" t="s">
        <v>1524</v>
      </c>
      <c r="B199" s="27" t="s">
        <v>1523</v>
      </c>
      <c r="C199" s="27" t="n">
        <v>2014</v>
      </c>
      <c r="D199" s="22" t="s">
        <v>1522</v>
      </c>
      <c r="E199" s="22" t="s">
        <v>1823</v>
      </c>
    </row>
    <row r="200" customFormat="false" ht="15" hidden="false" customHeight="false" outlineLevel="0" collapsed="false">
      <c r="A200" s="24" t="s">
        <v>435</v>
      </c>
      <c r="B200" s="27" t="s">
        <v>434</v>
      </c>
      <c r="C200" s="27" t="n">
        <v>2018</v>
      </c>
      <c r="D200" s="22" t="s">
        <v>432</v>
      </c>
      <c r="E200" s="22" t="s">
        <v>1823</v>
      </c>
    </row>
    <row r="201" customFormat="false" ht="15" hidden="false" customHeight="false" outlineLevel="0" collapsed="false">
      <c r="A201" s="24" t="s">
        <v>1220</v>
      </c>
      <c r="B201" s="27" t="s">
        <v>1219</v>
      </c>
      <c r="C201" s="27" t="n">
        <v>2008</v>
      </c>
      <c r="D201" s="22" t="s">
        <v>1894</v>
      </c>
      <c r="E201" s="22" t="s">
        <v>1823</v>
      </c>
    </row>
    <row r="202" customFormat="false" ht="15" hidden="false" customHeight="false" outlineLevel="0" collapsed="false">
      <c r="A202" s="24" t="s">
        <v>1433</v>
      </c>
      <c r="B202" s="27" t="s">
        <v>1432</v>
      </c>
      <c r="C202" s="27" t="n">
        <v>2010</v>
      </c>
      <c r="D202" s="22" t="s">
        <v>1431</v>
      </c>
      <c r="E202" s="22" t="s">
        <v>1823</v>
      </c>
    </row>
    <row r="203" customFormat="false" ht="15" hidden="false" customHeight="false" outlineLevel="0" collapsed="false">
      <c r="A203" s="24" t="s">
        <v>1895</v>
      </c>
      <c r="B203" s="27" t="s">
        <v>1896</v>
      </c>
      <c r="C203" s="27" t="n">
        <v>2016</v>
      </c>
      <c r="D203" s="22" t="s">
        <v>232</v>
      </c>
      <c r="E203" s="22" t="s">
        <v>1823</v>
      </c>
    </row>
    <row r="204" customFormat="false" ht="15" hidden="false" customHeight="false" outlineLevel="0" collapsed="false">
      <c r="A204" s="24" t="s">
        <v>1037</v>
      </c>
      <c r="B204" s="27" t="s">
        <v>1036</v>
      </c>
      <c r="C204" s="27" t="n">
        <v>2007</v>
      </c>
      <c r="D204" s="22" t="s">
        <v>1035</v>
      </c>
      <c r="E204" s="22" t="s">
        <v>1823</v>
      </c>
    </row>
    <row r="205" customFormat="false" ht="15" hidden="false" customHeight="false" outlineLevel="0" collapsed="false">
      <c r="A205" s="24" t="s">
        <v>441</v>
      </c>
      <c r="B205" s="27" t="s">
        <v>440</v>
      </c>
      <c r="C205" s="27" t="n">
        <v>2012</v>
      </c>
      <c r="D205" s="22" t="s">
        <v>437</v>
      </c>
      <c r="E205" s="22" t="s">
        <v>1823</v>
      </c>
    </row>
    <row r="206" customFormat="false" ht="15" hidden="false" customHeight="false" outlineLevel="0" collapsed="false">
      <c r="A206" s="24" t="s">
        <v>283</v>
      </c>
      <c r="B206" s="27" t="s">
        <v>282</v>
      </c>
      <c r="C206" s="27" t="n">
        <v>2018</v>
      </c>
      <c r="D206" s="22" t="s">
        <v>280</v>
      </c>
      <c r="E206" s="22" t="s">
        <v>1823</v>
      </c>
    </row>
    <row r="207" customFormat="false" ht="23.85" hidden="false" customHeight="false" outlineLevel="0" collapsed="false">
      <c r="A207" s="24" t="s">
        <v>579</v>
      </c>
      <c r="B207" s="27" t="s">
        <v>578</v>
      </c>
      <c r="C207" s="27" t="n">
        <v>2007</v>
      </c>
      <c r="D207" s="22" t="s">
        <v>1897</v>
      </c>
      <c r="E207" s="22" t="s">
        <v>1823</v>
      </c>
    </row>
    <row r="208" customFormat="false" ht="15" hidden="false" customHeight="false" outlineLevel="0" collapsed="false">
      <c r="A208" s="24" t="s">
        <v>464</v>
      </c>
      <c r="B208" s="27" t="s">
        <v>463</v>
      </c>
      <c r="C208" s="27" t="n">
        <v>2011</v>
      </c>
      <c r="D208" s="22" t="s">
        <v>1898</v>
      </c>
      <c r="E208" s="22" t="s">
        <v>1823</v>
      </c>
    </row>
    <row r="209" customFormat="false" ht="15" hidden="false" customHeight="false" outlineLevel="0" collapsed="false">
      <c r="A209" s="24" t="s">
        <v>800</v>
      </c>
      <c r="B209" s="27" t="s">
        <v>799</v>
      </c>
      <c r="C209" s="27" t="n">
        <v>2012</v>
      </c>
      <c r="D209" s="22" t="s">
        <v>797</v>
      </c>
      <c r="E209" s="22" t="s">
        <v>1823</v>
      </c>
    </row>
    <row r="210" customFormat="false" ht="15" hidden="false" customHeight="false" outlineLevel="0" collapsed="false">
      <c r="A210" s="24" t="s">
        <v>527</v>
      </c>
      <c r="B210" s="27" t="s">
        <v>526</v>
      </c>
      <c r="C210" s="27" t="n">
        <v>2013</v>
      </c>
      <c r="D210" s="22" t="s">
        <v>1899</v>
      </c>
      <c r="E210" s="22" t="s">
        <v>1823</v>
      </c>
    </row>
    <row r="211" customFormat="false" ht="15" hidden="false" customHeight="false" outlineLevel="0" collapsed="false">
      <c r="A211" s="24" t="s">
        <v>255</v>
      </c>
      <c r="B211" s="27" t="s">
        <v>254</v>
      </c>
      <c r="C211" s="27" t="n">
        <v>2016</v>
      </c>
      <c r="D211" s="22" t="s">
        <v>253</v>
      </c>
      <c r="E211" s="22" t="s">
        <v>1823</v>
      </c>
    </row>
    <row r="212" customFormat="false" ht="15" hidden="false" customHeight="false" outlineLevel="0" collapsed="false">
      <c r="A212" s="24" t="s">
        <v>811</v>
      </c>
      <c r="B212" s="27" t="s">
        <v>810</v>
      </c>
      <c r="C212" s="27" t="n">
        <v>2014</v>
      </c>
      <c r="D212" s="22" t="s">
        <v>809</v>
      </c>
      <c r="E212" s="22" t="s">
        <v>1823</v>
      </c>
    </row>
    <row r="213" customFormat="false" ht="15" hidden="false" customHeight="false" outlineLevel="0" collapsed="false">
      <c r="A213" s="24" t="s">
        <v>1076</v>
      </c>
      <c r="B213" s="27" t="s">
        <v>1075</v>
      </c>
      <c r="C213" s="27" t="n">
        <v>2017</v>
      </c>
      <c r="D213" s="22" t="s">
        <v>1074</v>
      </c>
      <c r="E213" s="22" t="s">
        <v>1823</v>
      </c>
    </row>
    <row r="214" customFormat="false" ht="15" hidden="false" customHeight="false" outlineLevel="0" collapsed="false">
      <c r="A214" s="24" t="s">
        <v>245</v>
      </c>
      <c r="B214" s="27" t="s">
        <v>244</v>
      </c>
      <c r="C214" s="27" t="n">
        <v>2015</v>
      </c>
      <c r="D214" s="22" t="s">
        <v>1900</v>
      </c>
      <c r="E214" s="22" t="s">
        <v>1823</v>
      </c>
    </row>
    <row r="215" customFormat="false" ht="15" hidden="false" customHeight="false" outlineLevel="0" collapsed="false">
      <c r="A215" s="24" t="s">
        <v>770</v>
      </c>
      <c r="B215" s="27" t="s">
        <v>769</v>
      </c>
      <c r="C215" s="27" t="n">
        <v>2021</v>
      </c>
      <c r="D215" s="22" t="s">
        <v>768</v>
      </c>
      <c r="E215" s="22" t="s">
        <v>1823</v>
      </c>
    </row>
    <row r="216" customFormat="false" ht="15" hidden="false" customHeight="false" outlineLevel="0" collapsed="false">
      <c r="A216" s="24" t="s">
        <v>998</v>
      </c>
      <c r="B216" s="27" t="s">
        <v>997</v>
      </c>
      <c r="C216" s="27" t="n">
        <v>2019</v>
      </c>
      <c r="D216" s="22" t="s">
        <v>1901</v>
      </c>
      <c r="E216" s="22" t="s">
        <v>1823</v>
      </c>
    </row>
    <row r="217" customFormat="false" ht="15" hidden="false" customHeight="false" outlineLevel="0" collapsed="false">
      <c r="A217" s="24" t="s">
        <v>993</v>
      </c>
      <c r="B217" s="27" t="s">
        <v>992</v>
      </c>
      <c r="C217" s="27" t="n">
        <v>2024</v>
      </c>
      <c r="D217" s="22" t="s">
        <v>1902</v>
      </c>
      <c r="E217" s="22" t="s">
        <v>1823</v>
      </c>
    </row>
    <row r="218" customFormat="false" ht="15" hidden="false" customHeight="false" outlineLevel="0" collapsed="false">
      <c r="A218" s="24" t="s">
        <v>1119</v>
      </c>
      <c r="B218" s="27" t="s">
        <v>1118</v>
      </c>
      <c r="C218" s="27" t="n">
        <v>2015</v>
      </c>
      <c r="D218" s="22" t="s">
        <v>1117</v>
      </c>
      <c r="E218" s="22" t="s">
        <v>1823</v>
      </c>
    </row>
    <row r="219" customFormat="false" ht="15" hidden="false" customHeight="false" outlineLevel="0" collapsed="false">
      <c r="A219" s="24" t="s">
        <v>343</v>
      </c>
      <c r="B219" s="27" t="s">
        <v>342</v>
      </c>
      <c r="C219" s="27" t="n">
        <v>2016</v>
      </c>
      <c r="D219" s="22" t="s">
        <v>340</v>
      </c>
      <c r="E219" s="22" t="s">
        <v>1823</v>
      </c>
    </row>
    <row r="220" customFormat="false" ht="15" hidden="false" customHeight="false" outlineLevel="0" collapsed="false">
      <c r="A220" s="24" t="s">
        <v>1019</v>
      </c>
      <c r="B220" s="27" t="s">
        <v>1018</v>
      </c>
      <c r="C220" s="27" t="n">
        <v>2012</v>
      </c>
      <c r="D220" s="22" t="s">
        <v>1017</v>
      </c>
      <c r="E220" s="22" t="s">
        <v>1823</v>
      </c>
    </row>
    <row r="221" customFormat="false" ht="15" hidden="false" customHeight="false" outlineLevel="0" collapsed="false">
      <c r="A221" s="24" t="s">
        <v>1343</v>
      </c>
      <c r="B221" s="27" t="s">
        <v>1342</v>
      </c>
      <c r="C221" s="27" t="n">
        <v>2010</v>
      </c>
      <c r="D221" s="22" t="s">
        <v>1341</v>
      </c>
      <c r="E221" s="22" t="s">
        <v>1823</v>
      </c>
    </row>
    <row r="222" customFormat="false" ht="23.85" hidden="false" customHeight="false" outlineLevel="0" collapsed="false">
      <c r="A222" s="24" t="s">
        <v>971</v>
      </c>
      <c r="B222" s="27" t="s">
        <v>970</v>
      </c>
      <c r="C222" s="27" t="n">
        <v>2024</v>
      </c>
      <c r="D222" s="22" t="s">
        <v>1903</v>
      </c>
      <c r="E222" s="22" t="s">
        <v>1823</v>
      </c>
    </row>
    <row r="223" customFormat="false" ht="15" hidden="false" customHeight="false" outlineLevel="0" collapsed="false">
      <c r="A223" s="24" t="s">
        <v>920</v>
      </c>
      <c r="B223" s="27" t="s">
        <v>919</v>
      </c>
      <c r="C223" s="27" t="n">
        <v>2024</v>
      </c>
      <c r="D223" s="22" t="s">
        <v>1904</v>
      </c>
      <c r="E223" s="22" t="s">
        <v>1823</v>
      </c>
    </row>
    <row r="224" customFormat="false" ht="15" hidden="false" customHeight="false" outlineLevel="0" collapsed="false">
      <c r="A224" s="24" t="s">
        <v>959</v>
      </c>
      <c r="B224" s="27" t="s">
        <v>958</v>
      </c>
      <c r="C224" s="27" t="n">
        <v>2017</v>
      </c>
      <c r="D224" s="22" t="s">
        <v>957</v>
      </c>
      <c r="E224" s="22" t="s">
        <v>1823</v>
      </c>
    </row>
    <row r="225" customFormat="false" ht="15" hidden="false" customHeight="false" outlineLevel="0" collapsed="false">
      <c r="A225" s="24" t="s">
        <v>428</v>
      </c>
      <c r="B225" s="27" t="s">
        <v>427</v>
      </c>
      <c r="C225" s="27" t="n">
        <v>2024</v>
      </c>
      <c r="D225" s="22" t="s">
        <v>425</v>
      </c>
      <c r="E225" s="22" t="s">
        <v>1823</v>
      </c>
    </row>
    <row r="226" customFormat="false" ht="15" hidden="false" customHeight="false" outlineLevel="0" collapsed="false">
      <c r="A226" s="24" t="s">
        <v>263</v>
      </c>
      <c r="B226" s="27" t="s">
        <v>262</v>
      </c>
      <c r="C226" s="27" t="n">
        <v>2024</v>
      </c>
      <c r="D226" s="22" t="s">
        <v>261</v>
      </c>
      <c r="E226" s="22" t="s">
        <v>1823</v>
      </c>
    </row>
    <row r="227" customFormat="false" ht="15" hidden="false" customHeight="false" outlineLevel="0" collapsed="false">
      <c r="A227" s="24" t="s">
        <v>337</v>
      </c>
      <c r="B227" s="27" t="s">
        <v>336</v>
      </c>
      <c r="C227" s="27" t="n">
        <v>2020</v>
      </c>
      <c r="D227" s="22" t="s">
        <v>334</v>
      </c>
      <c r="E227" s="22" t="s">
        <v>1823</v>
      </c>
    </row>
    <row r="228" customFormat="false" ht="15" hidden="false" customHeight="false" outlineLevel="0" collapsed="false">
      <c r="A228" s="24" t="s">
        <v>953</v>
      </c>
      <c r="B228" s="27" t="s">
        <v>952</v>
      </c>
      <c r="C228" s="27" t="n">
        <v>2014</v>
      </c>
      <c r="D228" s="22" t="s">
        <v>1905</v>
      </c>
      <c r="E228" s="22" t="s">
        <v>1823</v>
      </c>
    </row>
    <row r="229" customFormat="false" ht="15" hidden="false" customHeight="false" outlineLevel="0" collapsed="false">
      <c r="A229" s="24" t="s">
        <v>1369</v>
      </c>
      <c r="B229" s="27" t="s">
        <v>1368</v>
      </c>
      <c r="C229" s="27" t="n">
        <v>2019</v>
      </c>
      <c r="D229" s="22" t="s">
        <v>1367</v>
      </c>
      <c r="E229" s="22" t="s">
        <v>1823</v>
      </c>
    </row>
    <row r="230" customFormat="false" ht="15" hidden="false" customHeight="false" outlineLevel="0" collapsed="false">
      <c r="A230" s="24" t="s">
        <v>726</v>
      </c>
      <c r="B230" s="27" t="s">
        <v>725</v>
      </c>
      <c r="C230" s="27" t="n">
        <v>2021</v>
      </c>
      <c r="D230" s="22" t="s">
        <v>724</v>
      </c>
      <c r="E230" s="22" t="s">
        <v>1823</v>
      </c>
    </row>
    <row r="231" customFormat="false" ht="15" hidden="false" customHeight="false" outlineLevel="0" collapsed="false">
      <c r="A231" s="24" t="s">
        <v>1419</v>
      </c>
      <c r="B231" s="27" t="s">
        <v>1418</v>
      </c>
      <c r="C231" s="27" t="n">
        <v>2021</v>
      </c>
      <c r="D231" s="22" t="s">
        <v>1417</v>
      </c>
      <c r="E231" s="22" t="s">
        <v>1823</v>
      </c>
    </row>
    <row r="232" customFormat="false" ht="15" hidden="false" customHeight="false" outlineLevel="0" collapsed="false">
      <c r="A232" s="24" t="s">
        <v>483</v>
      </c>
      <c r="B232" s="27" t="s">
        <v>482</v>
      </c>
      <c r="C232" s="27" t="n">
        <v>2023</v>
      </c>
      <c r="D232" s="22" t="s">
        <v>481</v>
      </c>
      <c r="E232" s="22" t="s">
        <v>1823</v>
      </c>
    </row>
    <row r="233" customFormat="false" ht="15" hidden="false" customHeight="false" outlineLevel="0" collapsed="false">
      <c r="A233" s="24" t="s">
        <v>909</v>
      </c>
      <c r="B233" s="27" t="s">
        <v>908</v>
      </c>
      <c r="C233" s="27" t="n">
        <v>2024</v>
      </c>
      <c r="D233" s="22" t="s">
        <v>1906</v>
      </c>
      <c r="E233" s="22" t="s">
        <v>1823</v>
      </c>
    </row>
    <row r="234" customFormat="false" ht="15" hidden="false" customHeight="false" outlineLevel="0" collapsed="false">
      <c r="A234" s="24" t="s">
        <v>1389</v>
      </c>
      <c r="B234" s="27" t="s">
        <v>1388</v>
      </c>
      <c r="C234" s="27" t="n">
        <v>2022</v>
      </c>
      <c r="D234" s="22" t="s">
        <v>1386</v>
      </c>
      <c r="E234" s="22" t="s">
        <v>1823</v>
      </c>
    </row>
    <row r="235" customFormat="false" ht="15" hidden="false" customHeight="false" outlineLevel="0" collapsed="false">
      <c r="A235" s="24" t="s">
        <v>1086</v>
      </c>
      <c r="B235" s="27" t="s">
        <v>1085</v>
      </c>
      <c r="C235" s="27" t="n">
        <v>2017</v>
      </c>
      <c r="D235" s="22" t="s">
        <v>1084</v>
      </c>
      <c r="E235" s="22" t="s">
        <v>1823</v>
      </c>
    </row>
    <row r="236" customFormat="false" ht="15" hidden="false" customHeight="false" outlineLevel="0" collapsed="false">
      <c r="A236" s="24" t="s">
        <v>932</v>
      </c>
      <c r="B236" s="27" t="s">
        <v>931</v>
      </c>
      <c r="C236" s="27" t="n">
        <v>2018</v>
      </c>
      <c r="D236" s="22" t="s">
        <v>929</v>
      </c>
      <c r="E236" s="22" t="s">
        <v>1823</v>
      </c>
    </row>
    <row r="237" customFormat="false" ht="15" hidden="false" customHeight="false" outlineLevel="0" collapsed="false">
      <c r="A237" s="24" t="s">
        <v>478</v>
      </c>
      <c r="B237" s="27" t="s">
        <v>477</v>
      </c>
      <c r="C237" s="27" t="n">
        <v>2021</v>
      </c>
      <c r="D237" s="22" t="s">
        <v>475</v>
      </c>
      <c r="E237" s="22" t="s">
        <v>1823</v>
      </c>
    </row>
    <row r="238" customFormat="false" ht="15" hidden="false" customHeight="false" outlineLevel="0" collapsed="false">
      <c r="A238" s="24" t="s">
        <v>136</v>
      </c>
      <c r="B238" s="27" t="s">
        <v>135</v>
      </c>
      <c r="C238" s="27" t="n">
        <v>2013</v>
      </c>
      <c r="D238" s="22" t="s">
        <v>133</v>
      </c>
      <c r="E238" s="22" t="s">
        <v>1823</v>
      </c>
    </row>
    <row r="239" customFormat="false" ht="15" hidden="false" customHeight="false" outlineLevel="0" collapsed="false">
      <c r="A239" s="24" t="s">
        <v>1276</v>
      </c>
      <c r="B239" s="27" t="s">
        <v>1275</v>
      </c>
      <c r="C239" s="27" t="n">
        <v>2015</v>
      </c>
      <c r="D239" s="22" t="s">
        <v>1274</v>
      </c>
      <c r="E239" s="22" t="s">
        <v>1823</v>
      </c>
    </row>
  </sheetData>
  <autoFilter ref="A4:E239"/>
  <mergeCells count="2">
    <mergeCell ref="A1:E1"/>
    <mergeCell ref="A2:E2"/>
  </mergeCells>
  <hyperlinks>
    <hyperlink ref="A5" r:id="rId1" display="10.1002/jbmr.561"/>
    <hyperlink ref="A6" r:id="rId2" display="10.1007/s00018-023-05094-y"/>
    <hyperlink ref="A7" r:id="rId3" display="10.1016/j.cell.2012.06.037"/>
    <hyperlink ref="A8" r:id="rId4" display="10.1038/s12276-021-00716-6"/>
    <hyperlink ref="A9" r:id="rId5" display="10.1074/jbc.m115.702571"/>
    <hyperlink ref="A10" r:id="rId6" display="10.1155/2022/5635797"/>
    <hyperlink ref="A11" r:id="rId7" display="10.1002/1529-0131(200103)44:3&lt;595::aid-anr108&gt;3.0.co;2-8"/>
    <hyperlink ref="A12" r:id="rId8" display="10.1002/1529-0131(200110)44:10&lt;2296::aid-art392&gt;3.0.co;2-9"/>
    <hyperlink ref="A13" r:id="rId9" display="10.1002/advs.202105466"/>
    <hyperlink ref="A14" r:id="rId10" display="10.1002/art.23504"/>
    <hyperlink ref="A15" r:id="rId11" display="10.1002/art.24073"/>
    <hyperlink ref="A16" r:id="rId12" display="10.1002/art.25051"/>
    <hyperlink ref="A17" r:id="rId13" display="10.1002/art.38791"/>
    <hyperlink ref="A18" r:id="rId14" display="10.1002/art.38868"/>
    <hyperlink ref="A19" r:id="rId15" display="10.1002/cbin.11293"/>
    <hyperlink ref="A20" r:id="rId16" display="10.1002/dvdy.20323"/>
    <hyperlink ref="A21" r:id="rId17" display="10.1002/humu.9503"/>
    <hyperlink ref="A22" r:id="rId18" display="10.1002/jbmr.174"/>
    <hyperlink ref="A23" r:id="rId19" display="10.1002/jbmr.4019"/>
    <hyperlink ref="A24" r:id="rId20" display="10.1002/jbmr.4300"/>
    <hyperlink ref="A25" r:id="rId21" display="10.1002/jcb.1163"/>
    <hyperlink ref="A26" r:id="rId22" display="10.1002/jcb.20351"/>
    <hyperlink ref="A27" r:id="rId23" display="10.1002/jcb.21198"/>
    <hyperlink ref="A28" r:id="rId24" display="10.1002/jcb.25099"/>
    <hyperlink ref="A29" r:id="rId25" display="10.1002/jcb.27683"/>
    <hyperlink ref="A30" r:id="rId26" display="10.1002/jcp.21904"/>
    <hyperlink ref="A31" r:id="rId27" display="10.1002/jor.23583"/>
    <hyperlink ref="A32" r:id="rId28" display="10.1002/lary.20157"/>
    <hyperlink ref="A33" r:id="rId29" display="10.1002/path.2578"/>
    <hyperlink ref="A34" r:id="rId30" display="10.1002/stem.1476"/>
    <hyperlink ref="A35" r:id="rId31" display="10.1007/bf00229313"/>
    <hyperlink ref="A36" r:id="rId32" display="10.1007/s00018-025-05824-4"/>
    <hyperlink ref="A37" r:id="rId33" display="10.1007/s00264-013-2144-6"/>
    <hyperlink ref="A38" r:id="rId34" display="10.1007/s00418-005-0026-8"/>
    <hyperlink ref="A39" r:id="rId35" display="10.1007/s00441-003-0836-8"/>
    <hyperlink ref="A40" r:id="rId36" display="10.1007/s10753-022-01770-6"/>
    <hyperlink ref="A41" r:id="rId37" display="10.1007/s12551-017-0308-0"/>
    <hyperlink ref="A42" r:id="rId38" display="10.1016/0167-4838(83)90140-1"/>
    <hyperlink ref="A43" r:id="rId39" display="10.1016/j.ajpath.2024.05.004"/>
    <hyperlink ref="A44" r:id="rId40" display="10.1016/j.bbamcr.2008.12.003"/>
    <hyperlink ref="A45" r:id="rId41" display="10.1016/j.bbamcr.2023.119573"/>
    <hyperlink ref="A46" r:id="rId42" display="10.1016/j.bbrc.2017.05.086"/>
    <hyperlink ref="A47" r:id="rId43" display="10.1016/j.bbrc.2024.150371"/>
    <hyperlink ref="A48" r:id="rId44" display="10.1016/j.ceb.2009.05.006"/>
    <hyperlink ref="A49" r:id="rId45" display="10.1016/j.cell.2006.03.046"/>
    <hyperlink ref="A50" r:id="rId46" display="10.1016/j.cell.2006.06.055"/>
    <hyperlink ref="A51" r:id="rId47" display="10.1016/j.cell.2015.07.013"/>
    <hyperlink ref="A52" r:id="rId48" display="10.1016/j.cell.2024.02.007"/>
    <hyperlink ref="A53" r:id="rId49" display="10.1016/j.cellsig.2013.12.001"/>
    <hyperlink ref="A54" r:id="rId50" display="10.1016/j.cellsig.2026.112769"/>
    <hyperlink ref="A55" r:id="rId51" display="10.1016/j.cmet.2005.06.005"/>
    <hyperlink ref="A56" r:id="rId52" display="10.1016/j.cub.2005.02.053"/>
    <hyperlink ref="A57" r:id="rId53" display="10.1016/j.fob.2015.06.001"/>
    <hyperlink ref="A58" r:id="rId54" display="10.1016/j.freeradbiomed.2009.02.019"/>
    <hyperlink ref="A59" r:id="rId55" display="10.1016/j.gene.2019.04.020"/>
    <hyperlink ref="A60" r:id="rId56" display="10.1016/j.ijcard.2021.08.007"/>
    <hyperlink ref="A61" r:id="rId57" display="10.1016/j.intimp.2019.04.012"/>
    <hyperlink ref="A62" r:id="rId58" display="10.1016/j.intimp.2020.106681"/>
    <hyperlink ref="A63" r:id="rId59" display="10.1016/j.joca.2008.04.006"/>
    <hyperlink ref="A64" r:id="rId60" display="10.1016/j.joca.2008.04.027"/>
    <hyperlink ref="A65" r:id="rId61" display="10.1016/j.joca.2014.06.031"/>
    <hyperlink ref="A66" r:id="rId62" display="10.1016/j.joca.2015.02.168"/>
    <hyperlink ref="A67" r:id="rId63" display="10.1016/j.joca.2016.02.003"/>
    <hyperlink ref="A68" r:id="rId64" display="10.1016/j.joca.2017.08.019"/>
    <hyperlink ref="A69" r:id="rId65" display="10.1016/j.jot.2023.03.002"/>
    <hyperlink ref="A70" r:id="rId66" display="10.1016/j.jot.2025.01.013"/>
    <hyperlink ref="A71" r:id="rId67" display="10.1016/j.lfs.2019.116565"/>
    <hyperlink ref="A72" r:id="rId68" display="10.1016/j.mad.2022.111715"/>
    <hyperlink ref="A73" r:id="rId69" display="10.1016/j.matbio.2020.09.003"/>
    <hyperlink ref="A74" r:id="rId70" display="10.1016/j.molcel.2010.07.022"/>
    <hyperlink ref="A75" r:id="rId71" display="10.1016/j.spinee.2014.12.143"/>
    <hyperlink ref="A76" r:id="rId72" display="10.1016/j.steroids.2005.04.007"/>
    <hyperlink ref="A77" r:id="rId73" display="10.1016/j.ydbio.2010.02.024"/>
    <hyperlink ref="A78" r:id="rId74" display="10.1016/s0006-291x(02)00485-0"/>
    <hyperlink ref="A79" r:id="rId75" display="10.1016/s0022-2836(02)01404-3"/>
    <hyperlink ref="A80" r:id="rId76" display="10.1016/s0960-9822(01)00225-1"/>
    <hyperlink ref="A81" r:id="rId77" display="10.1038/372786a0"/>
    <hyperlink ref="A82" r:id="rId78" display="10.1038/boneres.2017.8"/>
    <hyperlink ref="A83" r:id="rId79" display="10.1038/cdd.2017.186"/>
    <hyperlink ref="A84" r:id="rId80" display="10.1038/emm.2000.18"/>
    <hyperlink ref="A85" r:id="rId81" display="10.1038/ncb1676"/>
    <hyperlink ref="A86" r:id="rId82" display="10.1038/nm.2146"/>
    <hyperlink ref="A87" r:id="rId83" display="10.1038/onc.2014.164"/>
    <hyperlink ref="A88" r:id="rId84" display="10.1038/s12276-020-0441-x"/>
    <hyperlink ref="A89" r:id="rId85" display="10.1038/s12276-022-00829-6"/>
    <hyperlink ref="A90" r:id="rId86" display="10.1038/s12276-024-01168-4"/>
    <hyperlink ref="A91" r:id="rId87" display="10.1038/s41388-018-0417-7"/>
    <hyperlink ref="A92" r:id="rId88" display="10.1038/s41392-021-00828-5"/>
    <hyperlink ref="A93" r:id="rId89" display="10.1038/s41419-019-1701-3"/>
    <hyperlink ref="A94" r:id="rId90" display="10.1038/s41419-019-2202-0"/>
    <hyperlink ref="A95" r:id="rId91" display="10.1038/s41419-025-08002-3"/>
    <hyperlink ref="A96" r:id="rId92" display="10.1038/s41556-023-01184-y"/>
    <hyperlink ref="A97" r:id="rId93" display="10.1038/s41598-017-17289-y"/>
    <hyperlink ref="A98" r:id="rId94" display="10.1038/s41598-021-81838-9"/>
    <hyperlink ref="A99" r:id="rId95" display="10.1038/s41598-021-82067-w"/>
    <hyperlink ref="A100" r:id="rId96" display="10.1038/s42255-019-0157-1"/>
    <hyperlink ref="A101" r:id="rId97" display="10.1038/sj.cdd.4401963"/>
    <hyperlink ref="A102" r:id="rId98" display="10.1038/sj.cdd.4402028"/>
    <hyperlink ref="A103" r:id="rId99" display="10.1038/sj.emboj.7601126"/>
    <hyperlink ref="A104" r:id="rId100" display="10.1038/sj.onc.1203362"/>
    <hyperlink ref="A105" r:id="rId101" display="10.1038/srep23258"/>
    <hyperlink ref="A106" r:id="rId102" display="10.1038/srep29916"/>
    <hyperlink ref="A107" r:id="rId103" display="10.1042/bcj20190410"/>
    <hyperlink ref="A108" r:id="rId104" display="10.1042/cs20150622"/>
    <hyperlink ref="A109" r:id="rId105" display="10.1042/cs20258735"/>
    <hyperlink ref="A110" r:id="rId106" display="10.1046/j.1471-4159.2000.0750788.x"/>
    <hyperlink ref="A111" r:id="rId107" display="10.1046/j.1471-4159.2001.00495.x"/>
    <hyperlink ref="A112" r:id="rId108" display="10.1053/joca.2002.0827"/>
    <hyperlink ref="A113" r:id="rId109" display="10.1073/pnas.0600678103"/>
    <hyperlink ref="A114" r:id="rId110" display="10.1073/pnas.0808249105"/>
    <hyperlink ref="A115" r:id="rId111" display="10.1073/pnas.090491897"/>
    <hyperlink ref="A116" r:id="rId112" display="10.1073/pnas.1319569111"/>
    <hyperlink ref="A117" r:id="rId113" display="10.1073/pnas.2209184120"/>
    <hyperlink ref="A118" r:id="rId114" display="10.1074/jbc.271.44.27723"/>
    <hyperlink ref="A119" r:id="rId115" display="10.1074/jbc.271.7.3355"/>
    <hyperlink ref="A120" r:id="rId116" display="10.1074/jbc.273.22.13375"/>
    <hyperlink ref="A121" r:id="rId117" display="10.1074/jbc.273.3.1733"/>
    <hyperlink ref="A122" r:id="rId118" display="10.1074/jbc.275.5.3577"/>
    <hyperlink ref="A123" r:id="rId119" display="10.1074/jbc.a115.702571"/>
    <hyperlink ref="A124" r:id="rId120" display="10.1074/jbc.m107977200"/>
    <hyperlink ref="A125" r:id="rId121" display="10.1074/jbc.m109690200"/>
    <hyperlink ref="A126" r:id="rId122" display="10.1074/jbc.m111.284224"/>
    <hyperlink ref="A127" r:id="rId123" display="10.1074/jbc.m111.334466"/>
    <hyperlink ref="A128" r:id="rId124" display="10.1074/jbc.m112.365882"/>
    <hyperlink ref="A129" r:id="rId125" display="10.1074/jbc.m112.440552"/>
    <hyperlink ref="A130" r:id="rId126" display="10.1074/jbc.m201283200"/>
    <hyperlink ref="A131" r:id="rId127" display="10.1074/jbc.m208300200"/>
    <hyperlink ref="A132" r:id="rId128" display="10.1074/jbc.m311033200"/>
    <hyperlink ref="A133" r:id="rId129" display="10.1074/jbc.m411793200"/>
    <hyperlink ref="A134" r:id="rId130" display="10.1074/jbc.m508510200"/>
    <hyperlink ref="A135" r:id="rId131" display="10.1074/jbc.m604322200"/>
    <hyperlink ref="A136" r:id="rId132" display="10.1074/jbc.m608086200"/>
    <hyperlink ref="A137" r:id="rId133" display="10.1074/jbc.m608995200"/>
    <hyperlink ref="A138" r:id="rId134" display="10.1074/jbc.m706638200"/>
    <hyperlink ref="A139" r:id="rId135" display="10.1074/jbc.m805711200"/>
    <hyperlink ref="A140" r:id="rId136" display="10.1074/jbc.m808048200"/>
    <hyperlink ref="A141" r:id="rId137" display="10.1080/03008207.2020.1736578"/>
    <hyperlink ref="A142" r:id="rId138" display="10.1080/03008207.2021.1952193"/>
    <hyperlink ref="A143" r:id="rId139" display="10.1083/jcb.200111073"/>
    <hyperlink ref="A144" r:id="rId140" display="10.1083/jcb.200211089"/>
    <hyperlink ref="A145" r:id="rId141" display="10.1083/jcb.200312045"/>
    <hyperlink ref="A146" r:id="rId142" display="10.1083/jcb.200805048"/>
    <hyperlink ref="A147" r:id="rId143" display="10.1089/scd.2010.0465"/>
    <hyperlink ref="A148" r:id="rId144" display="10.1091/mbc.e04-12-1082"/>
    <hyperlink ref="A149" r:id="rId145" display="10.1091/mbc.e06-03-0207"/>
    <hyperlink ref="A150" r:id="rId146" display="10.1091/mbc.e08-12-1248"/>
    <hyperlink ref="A151" r:id="rId147" display="10.1093/cvr/cvu053"/>
    <hyperlink ref="A152" r:id="rId148" display="10.1093/emboj/17.2.414"/>
    <hyperlink ref="A153" r:id="rId149" display="10.1096/fj.13-243741"/>
    <hyperlink ref="A154" r:id="rId150" display="10.1096/fj.201802725rrr"/>
    <hyperlink ref="A155" r:id="rId151" display="10.1097/01.brs.0000159096.11248.6d"/>
    <hyperlink ref="A156" r:id="rId152" display="10.1097/brs.0000000000001220"/>
    <hyperlink ref="A157" r:id="rId153" display="10.1097/brs.0000000000001235"/>
    <hyperlink ref="A158" r:id="rId154" display="10.1101/gad.1230704"/>
    <hyperlink ref="A159" r:id="rId155" display="10.1101/gad.1482906"/>
    <hyperlink ref="A160" r:id="rId156" display="10.1101/gad.219402.113"/>
    <hyperlink ref="A161" r:id="rId157" display="10.1101/gad.543109"/>
    <hyperlink ref="A162" r:id="rId158" display="10.1111/cpr.12492"/>
    <hyperlink ref="A163" r:id="rId159" display="10.1111/cpr.13438"/>
    <hyperlink ref="A164" r:id="rId160" display="10.1111/j.1067-1927.2005.130206.x"/>
    <hyperlink ref="A165" r:id="rId161" display="10.1111/j.1476-5381.2009.00143.x"/>
    <hyperlink ref="A166" r:id="rId162" display="10.1111/j.1582-4934.2012.01553.x"/>
    <hyperlink ref="A167" r:id="rId163" display="10.1111/jcmm.18048"/>
    <hyperlink ref="A168" r:id="rId164" display="10.1124/mol.109.056473"/>
    <hyperlink ref="A169" r:id="rId165" display="10.1126/science.1068712"/>
    <hyperlink ref="A170" r:id="rId166" display="10.1126/science.1165946"/>
    <hyperlink ref="A171" r:id="rId167" display="10.1126/science.271.5249.645"/>
    <hyperlink ref="A172" r:id="rId168" display="10.1126/science.277.5325.567"/>
    <hyperlink ref="A173" r:id="rId169" display="10.1128/mcb.00015-07"/>
    <hyperlink ref="A174" r:id="rId170" display="10.1128/mcb.00409-10"/>
    <hyperlink ref="A175" r:id="rId171" display="10.1128/mcb.00601-09"/>
    <hyperlink ref="A176" r:id="rId172" display="10.1128/mcb.01204-10"/>
    <hyperlink ref="A177" r:id="rId173" display="10.1128/mcb.23.1.131-139.2003"/>
    <hyperlink ref="A178" r:id="rId174" display="10.1152/ajpcell.00355.2021"/>
    <hyperlink ref="A179" r:id="rId175" display="10.1152/ajprenal.00591.2012"/>
    <hyperlink ref="A180" r:id="rId176" display="10.1152/physrev.00026.2020"/>
    <hyperlink ref="A181" r:id="rId177" display="10.1155/2022/7655142"/>
    <hyperlink ref="A182" r:id="rId178" display="10.1159/000489804"/>
    <hyperlink ref="A183" r:id="rId179" display="10.1159/000493225"/>
    <hyperlink ref="A184" r:id="rId180" display="10.1160/th13-06-0484"/>
    <hyperlink ref="A185" r:id="rId181" display="10.1161/atvbaha.117.310502"/>
    <hyperlink ref="A186" r:id="rId182" display="10.1164/rccm.200907-1047oc"/>
    <hyperlink ref="A187" r:id="rId183" display="10.1172/jci.insight.131382"/>
    <hyperlink ref="A188" r:id="rId184" display="10.1182/blood-2005-09-3541"/>
    <hyperlink ref="A189" r:id="rId185" display="10.1186/ar1765"/>
    <hyperlink ref="A190" r:id="rId186" display="10.1186/ar2151"/>
    <hyperlink ref="A191" r:id="rId187" display="10.1186/ar4254"/>
    <hyperlink ref="A192" r:id="rId188" display="10.1186/bcr922"/>
    <hyperlink ref="A193" r:id="rId189" display="10.1186/s11658-023-00489-y"/>
    <hyperlink ref="A194" r:id="rId190" display="10.1186/s12950-024-00398-7"/>
    <hyperlink ref="A195" r:id="rId191" display="10.1186/s12951-023-02075-y"/>
    <hyperlink ref="A196" r:id="rId192" display="10.1186/s12967-016-0833-9"/>
    <hyperlink ref="A197" r:id="rId193" display="10.1186/s13018-015-0296-3"/>
    <hyperlink ref="A198" r:id="rId194" display="10.1186/s13018-023-03815-4"/>
    <hyperlink ref="A199" r:id="rId195" display="10.1186/s13075-014-0416-1"/>
    <hyperlink ref="A200" r:id="rId196" display="10.1186/s13075-018-1723-8"/>
    <hyperlink ref="A201" r:id="rId197" display="10.1194/jlr.m700419-jlr200"/>
    <hyperlink ref="A202" r:id="rId198" display="10.1210/me.2010-0037"/>
    <hyperlink ref="A203" r:id="rId199" display="10.1242/dev.134502"/>
    <hyperlink ref="A204" r:id="rId200" display="10.1242/jcs.001586"/>
    <hyperlink ref="A205" r:id="rId201" display="10.1242/jcs.100107"/>
    <hyperlink ref="A206" r:id="rId202" display="10.12659/msm.913726"/>
    <hyperlink ref="A207" r:id="rId203" display="10.1359/jbmr.070322"/>
    <hyperlink ref="A208" r:id="rId204" display="10.1371/journal.pgen.1002356"/>
    <hyperlink ref="A209" r:id="rId205" display="10.1371/journal.pone.0039679"/>
    <hyperlink ref="A210" r:id="rId206" display="10.1371/journal.pone.0082045"/>
    <hyperlink ref="A211" r:id="rId207" display="10.1371/journal.pone.0158619"/>
    <hyperlink ref="A212" r:id="rId208" display="10.15252/embj.201489062"/>
    <hyperlink ref="A213" r:id="rId209" display="10.18632/oncotarget.18628"/>
    <hyperlink ref="A214" r:id="rId210" display="10.18632/oncotarget.3631"/>
    <hyperlink ref="A215" r:id="rId211" display="10.21037/atm-21-2701"/>
    <hyperlink ref="A216" r:id="rId212" display="10.2147/dddt.s203974"/>
    <hyperlink ref="A217" r:id="rId213" display="10.2147/jir.s444758"/>
    <hyperlink ref="A218" r:id="rId214" display="10.22203/ecm.v030a07"/>
    <hyperlink ref="A219" r:id="rId215" display="10.22203/ecm.v032a08"/>
    <hyperlink ref="A220" r:id="rId216" display="10.2460/ajvr.73.10.1553"/>
    <hyperlink ref="A221" r:id="rId217" display="10.3233/jad-2010-100465"/>
    <hyperlink ref="A222" r:id="rId218" display="10.3389/fcell.2023.1324561"/>
    <hyperlink ref="A223" r:id="rId219" display="10.3389/fcell.2024.1423665"/>
    <hyperlink ref="A224" r:id="rId220" display="10.3389/fphar.2017.00756"/>
    <hyperlink ref="A225" r:id="rId221" display="10.3389/fphar.2024.1476255"/>
    <hyperlink ref="A226" r:id="rId222" display="10.3390/antiox13060626"/>
    <hyperlink ref="A227" r:id="rId223" display="10.3390/cells9010147"/>
    <hyperlink ref="A228" r:id="rId224" display="10.3390/ijms15011176"/>
    <hyperlink ref="A229" r:id="rId225" display="10.3390/ijms20040972"/>
    <hyperlink ref="A230" r:id="rId226" display="10.3390/ijms222011082"/>
    <hyperlink ref="A231" r:id="rId227" display="10.3390/ijms222111355"/>
    <hyperlink ref="A232" r:id="rId228" display="10.3390/ijms241210004"/>
    <hyperlink ref="A233" r:id="rId229" display="10.3724/abbs.2024027"/>
    <hyperlink ref="A234" r:id="rId230" display="10.3892/etm.2022.11193"/>
    <hyperlink ref="A235" r:id="rId231" display="10.3892/ijmm.2017.3005"/>
    <hyperlink ref="A236" r:id="rId232" display="10.3892/ijmm.2018.3921"/>
    <hyperlink ref="A237" r:id="rId233" display="10.3892/ijmm.2021.4956"/>
    <hyperlink ref="A238" r:id="rId234" display="10.3892/mmr.2013.1729"/>
    <hyperlink ref="A239" r:id="rId235" display="10.4049/jimmunol.1402554"/>
  </hyperlinks>
  <printOptions headings="false" gridLines="false" gridLinesSet="true" horizontalCentered="tru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236"/>
</worksheet>
</file>

<file path=docProps/app.xml><?xml version="1.0" encoding="utf-8"?>
<Properties xmlns="http://schemas.openxmlformats.org/officeDocument/2006/extended-properties" xmlns:vt="http://schemas.openxmlformats.org/officeDocument/2006/docPropsVTypes">
  <Template/>
  <TotalTime>0</TotalTime>
  <Application>LibreOffice/26.2.5.2$MacOSX_AARCH64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2026-10-11T10:47:27Z</dcterms:created>
  <dc:creator>openpyxl</dc:creator>
  <dc:description/>
  <dc:language>en-GB</dc:language>
  <cp:lastModifiedBy/>
  <dcterms:modified xsi:type="dcterms:W3CDTF">2026-10-11T12:47:29Z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